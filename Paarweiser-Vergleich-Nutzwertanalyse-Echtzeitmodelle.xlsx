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arweiser Vergleich" sheetId="1" state="visible" r:id="rId3"/>
    <sheet name="Tabelle1" sheetId="2" state="visible" r:id="rId4"/>
    <sheet name="ParameterGegenüberstellung" sheetId="3" state="visible" r:id="rId5"/>
    <sheet name="Inf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<sst xmlns="http://schemas.openxmlformats.org/spreadsheetml/2006/main" count="100" uniqueCount="45">
  <si>
    <t xml:space="preserve">Paarweiser Vergleich</t>
  </si>
  <si>
    <t xml:space="preserve">Nutzwertanalyse</t>
  </si>
  <si>
    <t xml:space="preserve">Die mit dieser Farbe hinterlegten Zellen werden automatisch berechnet</t>
  </si>
  <si>
    <t xml:space="preserve">YoloV8</t>
  </si>
  <si>
    <t xml:space="preserve">Yolo11</t>
  </si>
  <si>
    <t xml:space="preserve">Mobilenet V3</t>
  </si>
  <si>
    <t xml:space="preserve">Summe</t>
  </si>
  <si>
    <t xml:space="preserve">%</t>
  </si>
  <si>
    <t xml:space="preserve">Gewichtung</t>
  </si>
  <si>
    <t xml:space="preserve">Bewertung</t>
  </si>
  <si>
    <t xml:space="preserve">Wert</t>
  </si>
  <si>
    <t xml:space="preserve">Mobilenet V3 Large</t>
  </si>
  <si>
    <t xml:space="preserve">Hardware Kosten</t>
  </si>
  <si>
    <t xml:space="preserve">Precision</t>
  </si>
  <si>
    <t xml:space="preserve">Gewicht Hardware</t>
  </si>
  <si>
    <t xml:space="preserve">Recall</t>
  </si>
  <si>
    <t xml:space="preserve">ROS2-Verfügbarkeit</t>
  </si>
  <si>
    <t xml:space="preserve">F1</t>
  </si>
  <si>
    <t xml:space="preserve">Rechenaufwand</t>
  </si>
  <si>
    <t xml:space="preserve">mAP50</t>
  </si>
  <si>
    <t xml:space="preserve">Kompatibilität mit Versuchsumgebung</t>
  </si>
  <si>
    <t xml:space="preserve">mAP-5095</t>
  </si>
  <si>
    <t xml:space="preserve">Vorbereitung Versuchsumgebung</t>
  </si>
  <si>
    <t xml:space="preserve">Kompatibilität</t>
  </si>
  <si>
    <t xml:space="preserve">Driftanfälligkeit</t>
  </si>
  <si>
    <t xml:space="preserve">Dokumentation</t>
  </si>
  <si>
    <t xml:space="preserve">Prüfsumme</t>
  </si>
  <si>
    <t xml:space="preserve">Bewertung 1 bedeutet im Beispiel Kriterium 1 ist wichtiger als Kriterium 2</t>
  </si>
  <si>
    <t xml:space="preserve">Bewertungszahl von 0 - 5</t>
  </si>
  <si>
    <t xml:space="preserve">Bewertungszahl 0 entspricht Alternative erfüllt das Kriterium nicht</t>
  </si>
  <si>
    <t xml:space="preserve">Bewertungszahl 5 entspricht Alternative erfüllt das Kriterium vollständig</t>
  </si>
  <si>
    <t xml:space="preserve">YOLOv8</t>
  </si>
  <si>
    <t xml:space="preserve">YOLO11</t>
  </si>
  <si>
    <t xml:space="preserve">SSD-MN</t>
  </si>
  <si>
    <t xml:space="preserve">P95 Pipeline-Latenz</t>
  </si>
  <si>
    <t xml:space="preserve">Latenz</t>
  </si>
  <si>
    <t xml:space="preserve">Inferenz / FPS</t>
  </si>
  <si>
    <t xml:space="preserve">Homepage:</t>
  </si>
  <si>
    <t xml:space="preserve">www.sixsigmablackbelt.de</t>
  </si>
  <si>
    <t xml:space="preserve">E-Mail an roland.schnurr@sixsigmablackbelt.de</t>
  </si>
  <si>
    <t xml:space="preserve">Literatur:</t>
  </si>
  <si>
    <t xml:space="preserve">Statistik von Kopf bis Fuss</t>
  </si>
  <si>
    <t xml:space="preserve">SPC - Statistische Prozesskontrolle</t>
  </si>
  <si>
    <t xml:space="preserve">Qualitätsmanagement für Ingenieure</t>
  </si>
  <si>
    <t xml:space="preserve">SPC - Statistische Prozesskontrolle: Eine praktische Einführung in die statistische Prozesskontrolle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</si>
</sst>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\ %"/>
    <numFmt numFmtId="166" formatCode="0.00\ %"/>
    <numFmt numFmtId="167" formatCode="_-* #,##0.00\ _€_-;\-* #,##0.00\ _€_-;_-* \-??\ _€_-;_-@_-"/>
    <numFmt numFmtId="168" formatCode="0.00"/>
    <numFmt numFmtId="169" formatCode="0.000"/>
  </numFmts>
  <fonts count="13">
    <font>
      <sz val="10"/>
      <name val="News Gothic MT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20"/>
      <name val="Arial"/>
      <family val="2"/>
      <charset val="1"/>
    </font>
    <font>
      <sz val="16"/>
      <name val="Arial"/>
      <family val="2"/>
      <charset val="1"/>
    </font>
    <font>
      <b val="true"/>
      <sz val="12"/>
      <name val="Arial"/>
      <family val="2"/>
      <charset val="1"/>
    </font>
    <font>
      <sz val="20"/>
      <name val="Arial"/>
      <family val="2"/>
      <charset val="1"/>
    </font>
    <font>
      <b val="true"/>
      <sz val="16"/>
      <color rgb="FF000000"/>
      <name val="News Gothic MT"/>
      <family val="0"/>
    </font>
    <font>
      <u val="single"/>
      <sz val="10"/>
      <color theme="10"/>
      <name val="News Gothic MT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8" tint="0.5999"/>
        <bgColor rgb="FFC6D9F1"/>
      </patternFill>
    </fill>
    <fill>
      <patternFill patternType="solid">
        <fgColor theme="3" tint="0.7999"/>
        <bgColor rgb="FFB7DEE8"/>
      </patternFill>
    </fill>
    <fill>
      <patternFill patternType="solid">
        <fgColor theme="3" tint="0.5999"/>
        <bgColor rgb="FF9999FF"/>
      </patternFill>
    </fill>
    <fill>
      <patternFill patternType="solid">
        <fgColor theme="1"/>
        <bgColor rgb="FF003300"/>
      </patternFill>
    </fill>
    <fill>
      <patternFill patternType="solid">
        <fgColor theme="0"/>
        <bgColor rgb="FFFFFFCC"/>
      </patternFill>
    </fill>
  </fills>
  <borders count="3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true">
      <left style="medium"/>
      <right style="thin"/>
      <top style="medium"/>
      <bottom style="thin"/>
      <diagonal style="medium"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true">
      <left style="medium"/>
      <right style="thin"/>
      <top style="medium"/>
      <bottom/>
      <diagonal style="medium"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true">
      <left style="medium"/>
      <right style="thin"/>
      <top style="thin"/>
      <bottom style="medium"/>
      <diagonal style="medium"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3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DEE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hyperlink" Target="http://twitter.com/share?url=http://www.sixsigmablackbelt.de/paarweiser-vergleich/&amp;text=Six+Sigma+Projektmanagement+" TargetMode="External"/><Relationship Id="rId2" Type="http://schemas.openxmlformats.org/officeDocument/2006/relationships/image" Target="../media/image1.png"/><Relationship Id="rId3" Type="http://schemas.openxmlformats.org/officeDocument/2006/relationships/hyperlink" Target="http://www.facebook.com/sharer.php?u=http://www.sixsigmablackbelt.de/paarweiser-vergleich/" TargetMode="External"/><Relationship Id="rId4" Type="http://schemas.openxmlformats.org/officeDocument/2006/relationships/image" Target="../media/image2.png"/><Relationship Id="rId5" Type="http://schemas.openxmlformats.org/officeDocument/2006/relationships/hyperlink" Target="https://plus.google.com/share?url=http://www.sixsigmablackbelt.de/paarweiser-vergleich/" TargetMode="External"/><Relationship Id="rId6" Type="http://schemas.openxmlformats.org/officeDocument/2006/relationships/image" Target="../media/image3.jpeg"/><Relationship Id="rId7" Type="http://schemas.openxmlformats.org/officeDocument/2006/relationships/hyperlink" Target="mailto:?subject=Six%20Sigma%20Projektmanagement&amp;Body=%20http://www.sixsigmablackbelt.de/paarweiser-vergleich/" TargetMode="External"/><Relationship Id="rId8" Type="http://schemas.openxmlformats.org/officeDocument/2006/relationships/image" Target="../media/image4.jpeg"/><Relationship Id="rId9" Type="http://schemas.openxmlformats.org/officeDocument/2006/relationships/hyperlink" Target="http://www.linkedin.com/shareArticle?mini=true&amp;url=http://www.sixsigmablackbelt.de/paarweiser-vergleich/" TargetMode="External"/><Relationship Id="rId10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1099080</xdr:colOff>
      <xdr:row>4</xdr:row>
      <xdr:rowOff>219240</xdr:rowOff>
    </xdr:from>
    <xdr:to>
      <xdr:col>1</xdr:col>
      <xdr:colOff>1691280</xdr:colOff>
      <xdr:row>4</xdr:row>
      <xdr:rowOff>523800</xdr:rowOff>
    </xdr:to>
    <xdr:sp>
      <xdr:nvSpPr>
        <xdr:cNvPr id="1" name="Text Box 3"/>
        <xdr:cNvSpPr/>
      </xdr:nvSpPr>
      <xdr:spPr>
        <a:xfrm>
          <a:off x="1266120" y="1086120"/>
          <a:ext cx="59220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720" tIns="32040" rIns="36720" bIns="0" anchor="t" upright="1">
          <a:noAutofit/>
        </a:bodyPr>
        <a:p>
          <a:pPr algn="ctr">
            <a:lnSpc>
              <a:spcPct val="100000"/>
            </a:lnSpc>
          </a:pPr>
          <a:r>
            <a:rPr lang="de-DE" sz="1600" b="1" u="none" strike="noStrike">
              <a:solidFill>
                <a:srgbClr val="000000"/>
              </a:solidFill>
              <a:effectLst/>
              <a:uFillTx/>
              <a:latin typeface="News Gothic MT"/>
            </a:rPr>
            <a:t>als</a:t>
          </a:r>
          <a:endParaRPr lang="de-DE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112320</xdr:colOff>
      <xdr:row>4</xdr:row>
      <xdr:rowOff>866880</xdr:rowOff>
    </xdr:from>
    <xdr:to>
      <xdr:col>1</xdr:col>
      <xdr:colOff>1184400</xdr:colOff>
      <xdr:row>4</xdr:row>
      <xdr:rowOff>1199880</xdr:rowOff>
    </xdr:to>
    <xdr:sp>
      <xdr:nvSpPr>
        <xdr:cNvPr id="2" name="Text Box 4"/>
        <xdr:cNvSpPr/>
      </xdr:nvSpPr>
      <xdr:spPr>
        <a:xfrm>
          <a:off x="279360" y="1733760"/>
          <a:ext cx="1072080" cy="333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720" tIns="32040" rIns="36720" bIns="0" anchor="t" upright="1">
          <a:noAutofit/>
        </a:bodyPr>
        <a:p>
          <a:pPr algn="ctr">
            <a:lnSpc>
              <a:spcPct val="100000"/>
            </a:lnSpc>
          </a:pPr>
          <a:r>
            <a:rPr lang="de-DE" sz="1600" b="1" u="none" strike="noStrike">
              <a:solidFill>
                <a:srgbClr val="000000"/>
              </a:solidFill>
              <a:effectLst/>
              <a:uFillTx/>
              <a:latin typeface="News Gothic MT"/>
            </a:rPr>
            <a:t>wichtiger</a:t>
          </a:r>
          <a:endParaRPr lang="de-DE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1333440</xdr:rowOff>
    </xdr:from>
    <xdr:to>
      <xdr:col>2</xdr:col>
      <xdr:colOff>91080</xdr:colOff>
      <xdr:row>6</xdr:row>
      <xdr:rowOff>30240</xdr:rowOff>
    </xdr:to>
    <xdr:sp>
      <xdr:nvSpPr>
        <xdr:cNvPr id="3" name="Text Box 5"/>
        <xdr:cNvSpPr/>
      </xdr:nvSpPr>
      <xdr:spPr>
        <a:xfrm>
          <a:off x="2773080" y="2200320"/>
          <a:ext cx="91080" cy="554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4</xdr:row>
      <xdr:rowOff>1333440</xdr:rowOff>
    </xdr:from>
    <xdr:to>
      <xdr:col>15</xdr:col>
      <xdr:colOff>91080</xdr:colOff>
      <xdr:row>6</xdr:row>
      <xdr:rowOff>30240</xdr:rowOff>
    </xdr:to>
    <xdr:sp>
      <xdr:nvSpPr>
        <xdr:cNvPr id="4" name="Text Box 7"/>
        <xdr:cNvSpPr/>
      </xdr:nvSpPr>
      <xdr:spPr>
        <a:xfrm>
          <a:off x="10963800" y="2200320"/>
          <a:ext cx="91080" cy="554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4</xdr:row>
      <xdr:rowOff>1333440</xdr:rowOff>
    </xdr:from>
    <xdr:to>
      <xdr:col>15</xdr:col>
      <xdr:colOff>91080</xdr:colOff>
      <xdr:row>6</xdr:row>
      <xdr:rowOff>30240</xdr:rowOff>
    </xdr:to>
    <xdr:sp>
      <xdr:nvSpPr>
        <xdr:cNvPr id="5" name="Text Box 8"/>
        <xdr:cNvSpPr/>
      </xdr:nvSpPr>
      <xdr:spPr>
        <a:xfrm>
          <a:off x="10963800" y="2200320"/>
          <a:ext cx="91080" cy="554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4</xdr:row>
      <xdr:rowOff>1333440</xdr:rowOff>
    </xdr:from>
    <xdr:to>
      <xdr:col>15</xdr:col>
      <xdr:colOff>91080</xdr:colOff>
      <xdr:row>6</xdr:row>
      <xdr:rowOff>30240</xdr:rowOff>
    </xdr:to>
    <xdr:sp>
      <xdr:nvSpPr>
        <xdr:cNvPr id="6" name="Text Box 10"/>
        <xdr:cNvSpPr/>
      </xdr:nvSpPr>
      <xdr:spPr>
        <a:xfrm>
          <a:off x="10963800" y="2200320"/>
          <a:ext cx="91080" cy="554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91080</xdr:colOff>
      <xdr:row>20</xdr:row>
      <xdr:rowOff>45720</xdr:rowOff>
    </xdr:to>
    <xdr:sp>
      <xdr:nvSpPr>
        <xdr:cNvPr id="7" name="Text Box 11"/>
        <xdr:cNvSpPr/>
      </xdr:nvSpPr>
      <xdr:spPr>
        <a:xfrm>
          <a:off x="2773080" y="7429680"/>
          <a:ext cx="91080" cy="236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91080</xdr:colOff>
      <xdr:row>20</xdr:row>
      <xdr:rowOff>45720</xdr:rowOff>
    </xdr:to>
    <xdr:sp>
      <xdr:nvSpPr>
        <xdr:cNvPr id="8" name="Text Box 13"/>
        <xdr:cNvSpPr/>
      </xdr:nvSpPr>
      <xdr:spPr>
        <a:xfrm>
          <a:off x="2773080" y="7429680"/>
          <a:ext cx="91080" cy="236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91080</xdr:colOff>
      <xdr:row>20</xdr:row>
      <xdr:rowOff>45720</xdr:rowOff>
    </xdr:to>
    <xdr:sp>
      <xdr:nvSpPr>
        <xdr:cNvPr id="9" name="Text Box 14"/>
        <xdr:cNvSpPr/>
      </xdr:nvSpPr>
      <xdr:spPr>
        <a:xfrm>
          <a:off x="2773080" y="7429680"/>
          <a:ext cx="91080" cy="236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91080</xdr:colOff>
      <xdr:row>20</xdr:row>
      <xdr:rowOff>45720</xdr:rowOff>
    </xdr:to>
    <xdr:sp>
      <xdr:nvSpPr>
        <xdr:cNvPr id="10" name="Text Box 15"/>
        <xdr:cNvSpPr/>
      </xdr:nvSpPr>
      <xdr:spPr>
        <a:xfrm>
          <a:off x="2773080" y="7429680"/>
          <a:ext cx="91080" cy="236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91080</xdr:colOff>
      <xdr:row>20</xdr:row>
      <xdr:rowOff>45720</xdr:rowOff>
    </xdr:to>
    <xdr:sp>
      <xdr:nvSpPr>
        <xdr:cNvPr id="11" name="Text Box 16"/>
        <xdr:cNvSpPr/>
      </xdr:nvSpPr>
      <xdr:spPr>
        <a:xfrm>
          <a:off x="2773080" y="7429680"/>
          <a:ext cx="91080" cy="236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0</xdr:colOff>
      <xdr:row>5</xdr:row>
      <xdr:rowOff>436680</xdr:rowOff>
    </xdr:from>
    <xdr:to>
      <xdr:col>3</xdr:col>
      <xdr:colOff>91080</xdr:colOff>
      <xdr:row>7</xdr:row>
      <xdr:rowOff>29880</xdr:rowOff>
    </xdr:to>
    <xdr:sp>
      <xdr:nvSpPr>
        <xdr:cNvPr id="12" name="Text Box 5"/>
        <xdr:cNvSpPr/>
      </xdr:nvSpPr>
      <xdr:spPr>
        <a:xfrm>
          <a:off x="3429720" y="2722680"/>
          <a:ext cx="91080" cy="46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0</xdr:colOff>
      <xdr:row>6</xdr:row>
      <xdr:rowOff>436680</xdr:rowOff>
    </xdr:from>
    <xdr:to>
      <xdr:col>4</xdr:col>
      <xdr:colOff>91080</xdr:colOff>
      <xdr:row>8</xdr:row>
      <xdr:rowOff>29880</xdr:rowOff>
    </xdr:to>
    <xdr:sp>
      <xdr:nvSpPr>
        <xdr:cNvPr id="13" name="Text Box 5"/>
        <xdr:cNvSpPr/>
      </xdr:nvSpPr>
      <xdr:spPr>
        <a:xfrm>
          <a:off x="4086360" y="3160800"/>
          <a:ext cx="91080" cy="46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7</xdr:row>
      <xdr:rowOff>436680</xdr:rowOff>
    </xdr:from>
    <xdr:to>
      <xdr:col>5</xdr:col>
      <xdr:colOff>91080</xdr:colOff>
      <xdr:row>9</xdr:row>
      <xdr:rowOff>29880</xdr:rowOff>
    </xdr:to>
    <xdr:sp>
      <xdr:nvSpPr>
        <xdr:cNvPr id="14" name="Text Box 5"/>
        <xdr:cNvSpPr/>
      </xdr:nvSpPr>
      <xdr:spPr>
        <a:xfrm>
          <a:off x="4742640" y="3598920"/>
          <a:ext cx="91080" cy="46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436680</xdr:rowOff>
    </xdr:from>
    <xdr:to>
      <xdr:col>6</xdr:col>
      <xdr:colOff>91080</xdr:colOff>
      <xdr:row>10</xdr:row>
      <xdr:rowOff>29880</xdr:rowOff>
    </xdr:to>
    <xdr:sp>
      <xdr:nvSpPr>
        <xdr:cNvPr id="15" name="Text Box 5"/>
        <xdr:cNvSpPr/>
      </xdr:nvSpPr>
      <xdr:spPr>
        <a:xfrm>
          <a:off x="5399280" y="4037040"/>
          <a:ext cx="91080" cy="46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436680</xdr:rowOff>
    </xdr:from>
    <xdr:to>
      <xdr:col>7</xdr:col>
      <xdr:colOff>91080</xdr:colOff>
      <xdr:row>11</xdr:row>
      <xdr:rowOff>29880</xdr:rowOff>
    </xdr:to>
    <xdr:sp>
      <xdr:nvSpPr>
        <xdr:cNvPr id="16" name="Text Box 5"/>
        <xdr:cNvSpPr/>
      </xdr:nvSpPr>
      <xdr:spPr>
        <a:xfrm>
          <a:off x="6055920" y="4475160"/>
          <a:ext cx="91080" cy="469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10</xdr:row>
      <xdr:rowOff>437040</xdr:rowOff>
    </xdr:from>
    <xdr:to>
      <xdr:col>8</xdr:col>
      <xdr:colOff>91080</xdr:colOff>
      <xdr:row>12</xdr:row>
      <xdr:rowOff>29880</xdr:rowOff>
    </xdr:to>
    <xdr:sp>
      <xdr:nvSpPr>
        <xdr:cNvPr id="17" name="Text Box 5"/>
        <xdr:cNvSpPr/>
      </xdr:nvSpPr>
      <xdr:spPr>
        <a:xfrm>
          <a:off x="6712560" y="4913640"/>
          <a:ext cx="91080" cy="46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11</xdr:row>
      <xdr:rowOff>436680</xdr:rowOff>
    </xdr:from>
    <xdr:to>
      <xdr:col>9</xdr:col>
      <xdr:colOff>91080</xdr:colOff>
      <xdr:row>13</xdr:row>
      <xdr:rowOff>29880</xdr:rowOff>
    </xdr:to>
    <xdr:sp>
      <xdr:nvSpPr>
        <xdr:cNvPr id="18" name="Text Box 5"/>
        <xdr:cNvSpPr/>
      </xdr:nvSpPr>
      <xdr:spPr>
        <a:xfrm>
          <a:off x="7369200" y="5351760"/>
          <a:ext cx="91080" cy="46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0</xdr:colOff>
      <xdr:row>13</xdr:row>
      <xdr:rowOff>436680</xdr:rowOff>
    </xdr:from>
    <xdr:to>
      <xdr:col>11</xdr:col>
      <xdr:colOff>91080</xdr:colOff>
      <xdr:row>15</xdr:row>
      <xdr:rowOff>29880</xdr:rowOff>
    </xdr:to>
    <xdr:sp>
      <xdr:nvSpPr>
        <xdr:cNvPr id="19" name="Text Box 5"/>
        <xdr:cNvSpPr/>
      </xdr:nvSpPr>
      <xdr:spPr>
        <a:xfrm>
          <a:off x="8682480" y="6228000"/>
          <a:ext cx="91080" cy="46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4</xdr:row>
      <xdr:rowOff>1333440</xdr:rowOff>
    </xdr:from>
    <xdr:to>
      <xdr:col>2</xdr:col>
      <xdr:colOff>91080</xdr:colOff>
      <xdr:row>5</xdr:row>
      <xdr:rowOff>121680</xdr:rowOff>
    </xdr:to>
    <xdr:sp>
      <xdr:nvSpPr>
        <xdr:cNvPr id="20" name="Text Box 5"/>
        <xdr:cNvSpPr/>
      </xdr:nvSpPr>
      <xdr:spPr>
        <a:xfrm>
          <a:off x="2773080" y="2200320"/>
          <a:ext cx="91080" cy="207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0</xdr:colOff>
      <xdr:row>5</xdr:row>
      <xdr:rowOff>436680</xdr:rowOff>
    </xdr:from>
    <xdr:to>
      <xdr:col>3</xdr:col>
      <xdr:colOff>91080</xdr:colOff>
      <xdr:row>6</xdr:row>
      <xdr:rowOff>205200</xdr:rowOff>
    </xdr:to>
    <xdr:sp>
      <xdr:nvSpPr>
        <xdr:cNvPr id="21" name="Text Box 5"/>
        <xdr:cNvSpPr/>
      </xdr:nvSpPr>
      <xdr:spPr>
        <a:xfrm>
          <a:off x="3429720" y="2722680"/>
          <a:ext cx="91080" cy="20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0</xdr:colOff>
      <xdr:row>6</xdr:row>
      <xdr:rowOff>436680</xdr:rowOff>
    </xdr:from>
    <xdr:to>
      <xdr:col>4</xdr:col>
      <xdr:colOff>91080</xdr:colOff>
      <xdr:row>7</xdr:row>
      <xdr:rowOff>205200</xdr:rowOff>
    </xdr:to>
    <xdr:sp>
      <xdr:nvSpPr>
        <xdr:cNvPr id="22" name="Text Box 5"/>
        <xdr:cNvSpPr/>
      </xdr:nvSpPr>
      <xdr:spPr>
        <a:xfrm>
          <a:off x="4086360" y="3160800"/>
          <a:ext cx="91080" cy="20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7</xdr:row>
      <xdr:rowOff>436680</xdr:rowOff>
    </xdr:from>
    <xdr:to>
      <xdr:col>5</xdr:col>
      <xdr:colOff>91080</xdr:colOff>
      <xdr:row>8</xdr:row>
      <xdr:rowOff>205200</xdr:rowOff>
    </xdr:to>
    <xdr:sp>
      <xdr:nvSpPr>
        <xdr:cNvPr id="23" name="Text Box 5"/>
        <xdr:cNvSpPr/>
      </xdr:nvSpPr>
      <xdr:spPr>
        <a:xfrm>
          <a:off x="4742640" y="3598920"/>
          <a:ext cx="91080" cy="20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</xdr:row>
      <xdr:rowOff>436680</xdr:rowOff>
    </xdr:from>
    <xdr:to>
      <xdr:col>6</xdr:col>
      <xdr:colOff>91080</xdr:colOff>
      <xdr:row>9</xdr:row>
      <xdr:rowOff>205200</xdr:rowOff>
    </xdr:to>
    <xdr:sp>
      <xdr:nvSpPr>
        <xdr:cNvPr id="24" name="Text Box 5"/>
        <xdr:cNvSpPr/>
      </xdr:nvSpPr>
      <xdr:spPr>
        <a:xfrm>
          <a:off x="5399280" y="4037040"/>
          <a:ext cx="91080" cy="20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436680</xdr:rowOff>
    </xdr:from>
    <xdr:to>
      <xdr:col>7</xdr:col>
      <xdr:colOff>91080</xdr:colOff>
      <xdr:row>10</xdr:row>
      <xdr:rowOff>205200</xdr:rowOff>
    </xdr:to>
    <xdr:sp>
      <xdr:nvSpPr>
        <xdr:cNvPr id="25" name="Text Box 5"/>
        <xdr:cNvSpPr/>
      </xdr:nvSpPr>
      <xdr:spPr>
        <a:xfrm>
          <a:off x="6055920" y="4475160"/>
          <a:ext cx="91080" cy="20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10</xdr:row>
      <xdr:rowOff>437040</xdr:rowOff>
    </xdr:from>
    <xdr:to>
      <xdr:col>8</xdr:col>
      <xdr:colOff>91080</xdr:colOff>
      <xdr:row>11</xdr:row>
      <xdr:rowOff>205200</xdr:rowOff>
    </xdr:to>
    <xdr:sp>
      <xdr:nvSpPr>
        <xdr:cNvPr id="26" name="Text Box 5"/>
        <xdr:cNvSpPr/>
      </xdr:nvSpPr>
      <xdr:spPr>
        <a:xfrm>
          <a:off x="6712560" y="4913640"/>
          <a:ext cx="91080" cy="20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1099080</xdr:colOff>
      <xdr:row>3</xdr:row>
      <xdr:rowOff>219240</xdr:rowOff>
    </xdr:from>
    <xdr:to>
      <xdr:col>1</xdr:col>
      <xdr:colOff>1691280</xdr:colOff>
      <xdr:row>3</xdr:row>
      <xdr:rowOff>523800</xdr:rowOff>
    </xdr:to>
    <xdr:sp>
      <xdr:nvSpPr>
        <xdr:cNvPr id="27" name="Text Box 3"/>
        <xdr:cNvSpPr/>
      </xdr:nvSpPr>
      <xdr:spPr>
        <a:xfrm>
          <a:off x="1266120" y="1086120"/>
          <a:ext cx="59220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720" tIns="32040" rIns="36720" bIns="0" anchor="t" upright="1">
          <a:noAutofit/>
        </a:bodyPr>
        <a:p>
          <a:pPr algn="ctr">
            <a:lnSpc>
              <a:spcPct val="100000"/>
            </a:lnSpc>
          </a:pPr>
          <a:r>
            <a:rPr lang="de-DE" sz="1600" b="1" u="none" strike="noStrike">
              <a:solidFill>
                <a:srgbClr val="000000"/>
              </a:solidFill>
              <a:effectLst/>
              <a:uFillTx/>
              <a:latin typeface="News Gothic MT"/>
            </a:rPr>
            <a:t>als</a:t>
          </a:r>
          <a:endParaRPr lang="de-DE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112320</xdr:colOff>
      <xdr:row>3</xdr:row>
      <xdr:rowOff>866880</xdr:rowOff>
    </xdr:from>
    <xdr:to>
      <xdr:col>1</xdr:col>
      <xdr:colOff>1184400</xdr:colOff>
      <xdr:row>3</xdr:row>
      <xdr:rowOff>1199880</xdr:rowOff>
    </xdr:to>
    <xdr:sp>
      <xdr:nvSpPr>
        <xdr:cNvPr id="28" name="Text Box 4"/>
        <xdr:cNvSpPr/>
      </xdr:nvSpPr>
      <xdr:spPr>
        <a:xfrm>
          <a:off x="279360" y="1733760"/>
          <a:ext cx="1072080" cy="333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720" tIns="32040" rIns="36720" bIns="0" anchor="t" upright="1">
          <a:noAutofit/>
        </a:bodyPr>
        <a:p>
          <a:pPr algn="ctr">
            <a:lnSpc>
              <a:spcPct val="100000"/>
            </a:lnSpc>
          </a:pPr>
          <a:r>
            <a:rPr lang="de-DE" sz="1600" b="1" u="none" strike="noStrike">
              <a:solidFill>
                <a:srgbClr val="000000"/>
              </a:solidFill>
              <a:effectLst/>
              <a:uFillTx/>
              <a:latin typeface="News Gothic MT"/>
            </a:rPr>
            <a:t>wichtiger</a:t>
          </a:r>
          <a:endParaRPr lang="de-DE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0</xdr:colOff>
      <xdr:row>3</xdr:row>
      <xdr:rowOff>1333440</xdr:rowOff>
    </xdr:from>
    <xdr:to>
      <xdr:col>2</xdr:col>
      <xdr:colOff>87840</xdr:colOff>
      <xdr:row>7</xdr:row>
      <xdr:rowOff>65160</xdr:rowOff>
    </xdr:to>
    <xdr:sp>
      <xdr:nvSpPr>
        <xdr:cNvPr id="29" name="Text Box 5"/>
        <xdr:cNvSpPr/>
      </xdr:nvSpPr>
      <xdr:spPr>
        <a:xfrm>
          <a:off x="2773080" y="2200320"/>
          <a:ext cx="87840" cy="1465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</xdr:row>
      <xdr:rowOff>1333440</xdr:rowOff>
    </xdr:from>
    <xdr:to>
      <xdr:col>14</xdr:col>
      <xdr:colOff>87840</xdr:colOff>
      <xdr:row>7</xdr:row>
      <xdr:rowOff>65160</xdr:rowOff>
    </xdr:to>
    <xdr:sp>
      <xdr:nvSpPr>
        <xdr:cNvPr id="30" name="Text Box 7"/>
        <xdr:cNvSpPr/>
      </xdr:nvSpPr>
      <xdr:spPr>
        <a:xfrm>
          <a:off x="10307160" y="2200320"/>
          <a:ext cx="87840" cy="1465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</xdr:row>
      <xdr:rowOff>1333440</xdr:rowOff>
    </xdr:from>
    <xdr:to>
      <xdr:col>14</xdr:col>
      <xdr:colOff>87840</xdr:colOff>
      <xdr:row>7</xdr:row>
      <xdr:rowOff>65160</xdr:rowOff>
    </xdr:to>
    <xdr:sp>
      <xdr:nvSpPr>
        <xdr:cNvPr id="31" name="Text Box 8"/>
        <xdr:cNvSpPr/>
      </xdr:nvSpPr>
      <xdr:spPr>
        <a:xfrm>
          <a:off x="10307160" y="2200320"/>
          <a:ext cx="87840" cy="1465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</xdr:row>
      <xdr:rowOff>1333440</xdr:rowOff>
    </xdr:from>
    <xdr:to>
      <xdr:col>14</xdr:col>
      <xdr:colOff>87840</xdr:colOff>
      <xdr:row>7</xdr:row>
      <xdr:rowOff>65160</xdr:rowOff>
    </xdr:to>
    <xdr:sp>
      <xdr:nvSpPr>
        <xdr:cNvPr id="32" name="Text Box 10"/>
        <xdr:cNvSpPr/>
      </xdr:nvSpPr>
      <xdr:spPr>
        <a:xfrm>
          <a:off x="10307160" y="2200320"/>
          <a:ext cx="87840" cy="1465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87840</xdr:colOff>
      <xdr:row>21</xdr:row>
      <xdr:rowOff>77400</xdr:rowOff>
    </xdr:to>
    <xdr:sp>
      <xdr:nvSpPr>
        <xdr:cNvPr id="33" name="Text Box 11"/>
        <xdr:cNvSpPr/>
      </xdr:nvSpPr>
      <xdr:spPr>
        <a:xfrm>
          <a:off x="2773080" y="7562880"/>
          <a:ext cx="87840" cy="267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87840</xdr:colOff>
      <xdr:row>21</xdr:row>
      <xdr:rowOff>77400</xdr:rowOff>
    </xdr:to>
    <xdr:sp>
      <xdr:nvSpPr>
        <xdr:cNvPr id="34" name="Text Box 13"/>
        <xdr:cNvSpPr/>
      </xdr:nvSpPr>
      <xdr:spPr>
        <a:xfrm>
          <a:off x="2773080" y="7562880"/>
          <a:ext cx="87840" cy="267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87840</xdr:colOff>
      <xdr:row>21</xdr:row>
      <xdr:rowOff>77400</xdr:rowOff>
    </xdr:to>
    <xdr:sp>
      <xdr:nvSpPr>
        <xdr:cNvPr id="35" name="Text Box 14"/>
        <xdr:cNvSpPr/>
      </xdr:nvSpPr>
      <xdr:spPr>
        <a:xfrm>
          <a:off x="2773080" y="7562880"/>
          <a:ext cx="87840" cy="267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87840</xdr:colOff>
      <xdr:row>21</xdr:row>
      <xdr:rowOff>77400</xdr:rowOff>
    </xdr:to>
    <xdr:sp>
      <xdr:nvSpPr>
        <xdr:cNvPr id="36" name="Text Box 15"/>
        <xdr:cNvSpPr/>
      </xdr:nvSpPr>
      <xdr:spPr>
        <a:xfrm>
          <a:off x="2773080" y="7562880"/>
          <a:ext cx="87840" cy="267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87840</xdr:colOff>
      <xdr:row>21</xdr:row>
      <xdr:rowOff>77400</xdr:rowOff>
    </xdr:to>
    <xdr:sp>
      <xdr:nvSpPr>
        <xdr:cNvPr id="37" name="Text Box 16"/>
        <xdr:cNvSpPr/>
      </xdr:nvSpPr>
      <xdr:spPr>
        <a:xfrm>
          <a:off x="2773080" y="7562880"/>
          <a:ext cx="87840" cy="267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0</xdr:colOff>
      <xdr:row>4</xdr:row>
      <xdr:rowOff>436680</xdr:rowOff>
    </xdr:from>
    <xdr:to>
      <xdr:col>3</xdr:col>
      <xdr:colOff>87840</xdr:colOff>
      <xdr:row>7</xdr:row>
      <xdr:rowOff>141120</xdr:rowOff>
    </xdr:to>
    <xdr:sp>
      <xdr:nvSpPr>
        <xdr:cNvPr id="38" name="Text Box 5"/>
        <xdr:cNvSpPr/>
      </xdr:nvSpPr>
      <xdr:spPr>
        <a:xfrm>
          <a:off x="3429720" y="2722680"/>
          <a:ext cx="87840" cy="1018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0</xdr:colOff>
      <xdr:row>5</xdr:row>
      <xdr:rowOff>436680</xdr:rowOff>
    </xdr:from>
    <xdr:to>
      <xdr:col>4</xdr:col>
      <xdr:colOff>87840</xdr:colOff>
      <xdr:row>8</xdr:row>
      <xdr:rowOff>141120</xdr:rowOff>
    </xdr:to>
    <xdr:sp>
      <xdr:nvSpPr>
        <xdr:cNvPr id="39" name="Text Box 5"/>
        <xdr:cNvSpPr/>
      </xdr:nvSpPr>
      <xdr:spPr>
        <a:xfrm>
          <a:off x="4086360" y="3160800"/>
          <a:ext cx="87840" cy="1018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6</xdr:row>
      <xdr:rowOff>436680</xdr:rowOff>
    </xdr:from>
    <xdr:to>
      <xdr:col>5</xdr:col>
      <xdr:colOff>87840</xdr:colOff>
      <xdr:row>9</xdr:row>
      <xdr:rowOff>141120</xdr:rowOff>
    </xdr:to>
    <xdr:sp>
      <xdr:nvSpPr>
        <xdr:cNvPr id="40" name="Text Box 5"/>
        <xdr:cNvSpPr/>
      </xdr:nvSpPr>
      <xdr:spPr>
        <a:xfrm>
          <a:off x="4742640" y="3598920"/>
          <a:ext cx="87840" cy="1018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436680</xdr:rowOff>
    </xdr:from>
    <xdr:to>
      <xdr:col>6</xdr:col>
      <xdr:colOff>87840</xdr:colOff>
      <xdr:row>10</xdr:row>
      <xdr:rowOff>141120</xdr:rowOff>
    </xdr:to>
    <xdr:sp>
      <xdr:nvSpPr>
        <xdr:cNvPr id="41" name="Text Box 5"/>
        <xdr:cNvSpPr/>
      </xdr:nvSpPr>
      <xdr:spPr>
        <a:xfrm>
          <a:off x="5399280" y="4037040"/>
          <a:ext cx="87840" cy="101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436680</xdr:rowOff>
    </xdr:from>
    <xdr:to>
      <xdr:col>7</xdr:col>
      <xdr:colOff>87840</xdr:colOff>
      <xdr:row>11</xdr:row>
      <xdr:rowOff>141120</xdr:rowOff>
    </xdr:to>
    <xdr:sp>
      <xdr:nvSpPr>
        <xdr:cNvPr id="42" name="Text Box 5"/>
        <xdr:cNvSpPr/>
      </xdr:nvSpPr>
      <xdr:spPr>
        <a:xfrm>
          <a:off x="6055920" y="4475160"/>
          <a:ext cx="87840" cy="101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437040</xdr:rowOff>
    </xdr:from>
    <xdr:to>
      <xdr:col>8</xdr:col>
      <xdr:colOff>87840</xdr:colOff>
      <xdr:row>12</xdr:row>
      <xdr:rowOff>141120</xdr:rowOff>
    </xdr:to>
    <xdr:sp>
      <xdr:nvSpPr>
        <xdr:cNvPr id="43" name="Text Box 5"/>
        <xdr:cNvSpPr/>
      </xdr:nvSpPr>
      <xdr:spPr>
        <a:xfrm>
          <a:off x="6712560" y="4913640"/>
          <a:ext cx="87840" cy="1018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10</xdr:row>
      <xdr:rowOff>436680</xdr:rowOff>
    </xdr:from>
    <xdr:to>
      <xdr:col>9</xdr:col>
      <xdr:colOff>87840</xdr:colOff>
      <xdr:row>13</xdr:row>
      <xdr:rowOff>141120</xdr:rowOff>
    </xdr:to>
    <xdr:sp>
      <xdr:nvSpPr>
        <xdr:cNvPr id="44" name="Text Box 5"/>
        <xdr:cNvSpPr/>
      </xdr:nvSpPr>
      <xdr:spPr>
        <a:xfrm>
          <a:off x="7369200" y="5351760"/>
          <a:ext cx="87840" cy="1018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0</xdr:colOff>
      <xdr:row>11</xdr:row>
      <xdr:rowOff>436680</xdr:rowOff>
    </xdr:from>
    <xdr:to>
      <xdr:col>10</xdr:col>
      <xdr:colOff>87840</xdr:colOff>
      <xdr:row>16</xdr:row>
      <xdr:rowOff>7920</xdr:rowOff>
    </xdr:to>
    <xdr:sp>
      <xdr:nvSpPr>
        <xdr:cNvPr id="45" name="Text Box 5"/>
        <xdr:cNvSpPr/>
      </xdr:nvSpPr>
      <xdr:spPr>
        <a:xfrm>
          <a:off x="8025840" y="5789880"/>
          <a:ext cx="87840" cy="1018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0</xdr:colOff>
      <xdr:row>12</xdr:row>
      <xdr:rowOff>436680</xdr:rowOff>
    </xdr:from>
    <xdr:to>
      <xdr:col>11</xdr:col>
      <xdr:colOff>87840</xdr:colOff>
      <xdr:row>17</xdr:row>
      <xdr:rowOff>7920</xdr:rowOff>
    </xdr:to>
    <xdr:sp>
      <xdr:nvSpPr>
        <xdr:cNvPr id="46" name="Text Box 5"/>
        <xdr:cNvSpPr/>
      </xdr:nvSpPr>
      <xdr:spPr>
        <a:xfrm>
          <a:off x="8682480" y="6228000"/>
          <a:ext cx="87840" cy="771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3</xdr:row>
      <xdr:rowOff>1333440</xdr:rowOff>
    </xdr:from>
    <xdr:to>
      <xdr:col>2</xdr:col>
      <xdr:colOff>87840</xdr:colOff>
      <xdr:row>5</xdr:row>
      <xdr:rowOff>38880</xdr:rowOff>
    </xdr:to>
    <xdr:sp>
      <xdr:nvSpPr>
        <xdr:cNvPr id="47" name="Text Box 5"/>
        <xdr:cNvSpPr/>
      </xdr:nvSpPr>
      <xdr:spPr>
        <a:xfrm>
          <a:off x="2773080" y="2200320"/>
          <a:ext cx="87840" cy="56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0</xdr:colOff>
      <xdr:row>4</xdr:row>
      <xdr:rowOff>436680</xdr:rowOff>
    </xdr:from>
    <xdr:to>
      <xdr:col>3</xdr:col>
      <xdr:colOff>87840</xdr:colOff>
      <xdr:row>6</xdr:row>
      <xdr:rowOff>39960</xdr:rowOff>
    </xdr:to>
    <xdr:sp>
      <xdr:nvSpPr>
        <xdr:cNvPr id="48" name="Text Box 5"/>
        <xdr:cNvSpPr/>
      </xdr:nvSpPr>
      <xdr:spPr>
        <a:xfrm>
          <a:off x="3429720" y="2722680"/>
          <a:ext cx="87840" cy="479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0</xdr:colOff>
      <xdr:row>5</xdr:row>
      <xdr:rowOff>436680</xdr:rowOff>
    </xdr:from>
    <xdr:to>
      <xdr:col>4</xdr:col>
      <xdr:colOff>87840</xdr:colOff>
      <xdr:row>7</xdr:row>
      <xdr:rowOff>39960</xdr:rowOff>
    </xdr:to>
    <xdr:sp>
      <xdr:nvSpPr>
        <xdr:cNvPr id="49" name="Text Box 5"/>
        <xdr:cNvSpPr/>
      </xdr:nvSpPr>
      <xdr:spPr>
        <a:xfrm>
          <a:off x="4086360" y="3160800"/>
          <a:ext cx="87840" cy="479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6</xdr:row>
      <xdr:rowOff>436680</xdr:rowOff>
    </xdr:from>
    <xdr:to>
      <xdr:col>5</xdr:col>
      <xdr:colOff>87840</xdr:colOff>
      <xdr:row>8</xdr:row>
      <xdr:rowOff>39960</xdr:rowOff>
    </xdr:to>
    <xdr:sp>
      <xdr:nvSpPr>
        <xdr:cNvPr id="50" name="Text Box 5"/>
        <xdr:cNvSpPr/>
      </xdr:nvSpPr>
      <xdr:spPr>
        <a:xfrm>
          <a:off x="4742640" y="3598920"/>
          <a:ext cx="87840" cy="479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7</xdr:row>
      <xdr:rowOff>436680</xdr:rowOff>
    </xdr:from>
    <xdr:to>
      <xdr:col>6</xdr:col>
      <xdr:colOff>87840</xdr:colOff>
      <xdr:row>9</xdr:row>
      <xdr:rowOff>39960</xdr:rowOff>
    </xdr:to>
    <xdr:sp>
      <xdr:nvSpPr>
        <xdr:cNvPr id="51" name="Text Box 5"/>
        <xdr:cNvSpPr/>
      </xdr:nvSpPr>
      <xdr:spPr>
        <a:xfrm>
          <a:off x="5399280" y="4037040"/>
          <a:ext cx="87840" cy="479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436680</xdr:rowOff>
    </xdr:from>
    <xdr:to>
      <xdr:col>7</xdr:col>
      <xdr:colOff>87840</xdr:colOff>
      <xdr:row>10</xdr:row>
      <xdr:rowOff>39960</xdr:rowOff>
    </xdr:to>
    <xdr:sp>
      <xdr:nvSpPr>
        <xdr:cNvPr id="52" name="Text Box 5"/>
        <xdr:cNvSpPr/>
      </xdr:nvSpPr>
      <xdr:spPr>
        <a:xfrm>
          <a:off x="6055920" y="4475160"/>
          <a:ext cx="87840" cy="479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437040</xdr:rowOff>
    </xdr:from>
    <xdr:to>
      <xdr:col>8</xdr:col>
      <xdr:colOff>87840</xdr:colOff>
      <xdr:row>11</xdr:row>
      <xdr:rowOff>39960</xdr:rowOff>
    </xdr:to>
    <xdr:sp>
      <xdr:nvSpPr>
        <xdr:cNvPr id="53" name="Text Box 5"/>
        <xdr:cNvSpPr/>
      </xdr:nvSpPr>
      <xdr:spPr>
        <a:xfrm>
          <a:off x="6712560" y="4913640"/>
          <a:ext cx="87840" cy="479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7560</xdr:colOff>
      <xdr:row>12</xdr:row>
      <xdr:rowOff>106560</xdr:rowOff>
    </xdr:from>
    <xdr:to>
      <xdr:col>1</xdr:col>
      <xdr:colOff>289080</xdr:colOff>
      <xdr:row>18</xdr:row>
      <xdr:rowOff>167040</xdr:rowOff>
    </xdr:to>
    <xdr:pic>
      <xdr:nvPicPr>
        <xdr:cNvPr id="54" name="Grafik 1">
          <a:hlinkClick r:id="rId1"/>
        </xdr:cNvPr>
        <xdr:cNvPicPr/>
      </xdr:nvPicPr>
      <xdr:blipFill>
        <a:blip r:embed="rId2"/>
        <a:stretch/>
      </xdr:blipFill>
      <xdr:spPr>
        <a:xfrm>
          <a:off x="7560" y="2270520"/>
          <a:ext cx="1053000" cy="108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525960</xdr:colOff>
      <xdr:row>12</xdr:row>
      <xdr:rowOff>122040</xdr:rowOff>
    </xdr:from>
    <xdr:to>
      <xdr:col>2</xdr:col>
      <xdr:colOff>761760</xdr:colOff>
      <xdr:row>18</xdr:row>
      <xdr:rowOff>152280</xdr:rowOff>
    </xdr:to>
    <xdr:pic>
      <xdr:nvPicPr>
        <xdr:cNvPr id="55" name="Grafik 2">
          <a:hlinkClick r:id="rId3"/>
        </xdr:cNvPr>
        <xdr:cNvPicPr/>
      </xdr:nvPicPr>
      <xdr:blipFill>
        <a:blip r:embed="rId4"/>
        <a:stretch/>
      </xdr:blipFill>
      <xdr:spPr>
        <a:xfrm>
          <a:off x="1297440" y="2286000"/>
          <a:ext cx="1007280" cy="105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198000</xdr:colOff>
      <xdr:row>12</xdr:row>
      <xdr:rowOff>122040</xdr:rowOff>
    </xdr:from>
    <xdr:to>
      <xdr:col>4</xdr:col>
      <xdr:colOff>403560</xdr:colOff>
      <xdr:row>18</xdr:row>
      <xdr:rowOff>114120</xdr:rowOff>
    </xdr:to>
    <xdr:pic>
      <xdr:nvPicPr>
        <xdr:cNvPr id="56" name="Grafik 3">
          <a:hlinkClick r:id="rId5"/>
        </xdr:cNvPr>
        <xdr:cNvPicPr/>
      </xdr:nvPicPr>
      <xdr:blipFill>
        <a:blip r:embed="rId6"/>
        <a:stretch/>
      </xdr:blipFill>
      <xdr:spPr>
        <a:xfrm>
          <a:off x="2512440" y="2286000"/>
          <a:ext cx="977400" cy="1020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647640</xdr:colOff>
      <xdr:row>12</xdr:row>
      <xdr:rowOff>167760</xdr:rowOff>
    </xdr:from>
    <xdr:to>
      <xdr:col>6</xdr:col>
      <xdr:colOff>7200</xdr:colOff>
      <xdr:row>18</xdr:row>
      <xdr:rowOff>106560</xdr:rowOff>
    </xdr:to>
    <xdr:pic>
      <xdr:nvPicPr>
        <xdr:cNvPr id="57" name="Grafik 4">
          <a:hlinkClick r:id="rId7"/>
        </xdr:cNvPr>
        <xdr:cNvPicPr/>
      </xdr:nvPicPr>
      <xdr:blipFill>
        <a:blip r:embed="rId8"/>
        <a:stretch/>
      </xdr:blipFill>
      <xdr:spPr>
        <a:xfrm>
          <a:off x="3733920" y="2331720"/>
          <a:ext cx="902520" cy="967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266760</xdr:colOff>
      <xdr:row>13</xdr:row>
      <xdr:rowOff>7560</xdr:rowOff>
    </xdr:from>
    <xdr:to>
      <xdr:col>7</xdr:col>
      <xdr:colOff>449280</xdr:colOff>
      <xdr:row>18</xdr:row>
      <xdr:rowOff>152280</xdr:rowOff>
    </xdr:to>
    <xdr:pic>
      <xdr:nvPicPr>
        <xdr:cNvPr id="58" name="Grafik 5">
          <a:hlinkClick r:id="rId9"/>
        </xdr:cNvPr>
        <xdr:cNvPicPr/>
      </xdr:nvPicPr>
      <xdr:blipFill>
        <a:blip r:embed="rId10"/>
        <a:stretch/>
      </xdr:blipFill>
      <xdr:spPr>
        <a:xfrm>
          <a:off x="4896000" y="2343240"/>
          <a:ext cx="954000" cy="1001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sixsigmablackbelt.de/" TargetMode="External"/><Relationship Id="rId2" Type="http://schemas.openxmlformats.org/officeDocument/2006/relationships/hyperlink" Target="mailto:roland.schnurr@sixsigmablackbelt.de?subject=Excel%20Vorlage%20Maschinen-%20und%20Prozessfaehigkeit" TargetMode="External"/><Relationship Id="rId3" Type="http://schemas.openxmlformats.org/officeDocument/2006/relationships/hyperlink" Target="http://www.amazon.de/gp/product/3897218917?ie=UTF8&amp;camp=3206&amp;creative=21426&amp;creativeASIN=3897218917&amp;linkCode=shr&amp;tag=httpwwwsixsigma-21" TargetMode="External"/><Relationship Id="rId4" Type="http://schemas.openxmlformats.org/officeDocument/2006/relationships/hyperlink" Target="http://www.amazon.de/gp/product/3837051560/ref=as_li_tf_tl?ie=UTF8&amp;camp=1638&amp;creative=6742&amp;creativeASIN=3837051560&amp;linkCode=as2&amp;tag=httpwwwsixsigma-21" TargetMode="External"/><Relationship Id="rId5" Type="http://schemas.openxmlformats.org/officeDocument/2006/relationships/hyperlink" Target="http://www.amazon.de/gp/product/3446417842/ref=as_li_tf_tl?ie=UTF8&amp;camp=1638&amp;creative=6742&amp;creativeASIN=3446417842&amp;linkCode=as2&amp;tag=httpwwwsixsigma-21" TargetMode="External"/><Relationship Id="rId6" Type="http://schemas.openxmlformats.org/officeDocument/2006/relationships/hyperlink" Target="http://www.amazon.de/gp/product/3837051560?ie=UTF8&amp;camp=3206&amp;creative=21426&amp;creativeASIN=3837051560&amp;linkCode=shr&amp;tag=httpwwwsixsigma-21&amp;redirect=true" TargetMode="External"/><Relationship Id="rId7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B20"/>
  <sheetViews>
    <sheetView showFormulas="false" showGridLines="fals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A20" activeCellId="0" sqref="AA20"/>
    </sheetView>
  </sheetViews>
  <sheetFormatPr defaultColWidth="11.38671875" defaultRowHeight="15" customHeight="false" zeroHeight="false" outlineLevelRow="0" outlineLevelCol="0"/>
  <cols>
    <col collapsed="false" customWidth="true" hidden="false" outlineLevel="0" max="1" min="1" style="1" width="2.31"/>
    <col collapsed="false" customWidth="true" hidden="false" outlineLevel="0" max="2" min="2" style="1" width="36"/>
    <col collapsed="false" customWidth="true" hidden="false" outlineLevel="0" max="13" min="3" style="1" width="9.07"/>
    <col collapsed="false" customWidth="true" hidden="false" outlineLevel="0" max="14" min="14" style="1" width="11.07"/>
    <col collapsed="false" customWidth="true" hidden="false" outlineLevel="0" max="16" min="15" style="1" width="2.31"/>
    <col collapsed="false" customWidth="true" hidden="false" outlineLevel="0" max="17" min="17" style="1" width="34.61"/>
    <col collapsed="false" customWidth="false" hidden="false" outlineLevel="0" max="22" min="18" style="2" width="11.39"/>
    <col collapsed="false" customWidth="false" hidden="false" outlineLevel="0" max="24" min="23" style="1" width="11.39"/>
    <col collapsed="false" customWidth="true" hidden="false" outlineLevel="0" max="25" min="25" style="1" width="2.39"/>
    <col collapsed="false" customWidth="false" hidden="false" outlineLevel="0" max="26" min="26" style="1" width="11.39"/>
    <col collapsed="false" customWidth="true" hidden="false" outlineLevel="0" max="27" min="27" style="1" width="14.62"/>
    <col collapsed="false" customWidth="false" hidden="false" outlineLevel="0" max="29" min="28" style="1" width="11.39"/>
    <col collapsed="false" customWidth="true" hidden="false" outlineLevel="0" max="30" min="30" style="1" width="17.92"/>
    <col collapsed="false" customWidth="false" hidden="false" outlineLevel="0" max="51" min="31" style="1" width="11.39"/>
    <col collapsed="false" customWidth="false" hidden="false" outlineLevel="0" max="16384" min="55" style="1" width="11.39"/>
  </cols>
  <sheetData>
    <row r="1" s="6" customFormat="true" ht="33" hidden="false" customHeight="true" outlineLevel="0" collapsed="false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3"/>
      <c r="Q1" s="4" t="s">
        <v>1</v>
      </c>
      <c r="R1" s="4"/>
      <c r="S1" s="4"/>
      <c r="T1" s="4"/>
      <c r="U1" s="4"/>
      <c r="V1" s="4"/>
      <c r="W1" s="4"/>
      <c r="X1" s="4"/>
      <c r="Y1" s="5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Z1" s="0"/>
      <c r="BA1" s="0"/>
      <c r="BB1" s="0"/>
    </row>
    <row r="2" s="3" customFormat="true" ht="8.25" hidden="false" customHeight="true" outlineLevel="0" collapsed="false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Q2" s="7"/>
      <c r="R2" s="7"/>
      <c r="S2" s="7"/>
      <c r="T2" s="7"/>
      <c r="U2" s="7"/>
      <c r="V2" s="7"/>
      <c r="W2" s="7"/>
      <c r="X2" s="7"/>
      <c r="Y2" s="7"/>
      <c r="AZ2" s="0"/>
      <c r="BA2" s="0"/>
      <c r="BB2" s="0"/>
    </row>
    <row r="3" s="3" customFormat="true" ht="33.75" hidden="true" customHeight="true" outlineLevel="0" collapsed="false">
      <c r="B3" s="8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R3" s="10"/>
      <c r="S3" s="10"/>
      <c r="T3" s="10"/>
      <c r="U3" s="10"/>
      <c r="V3" s="10"/>
      <c r="AZ3" s="0"/>
      <c r="BA3" s="0"/>
      <c r="BB3" s="0"/>
    </row>
    <row r="4" customFormat="false" ht="27" hidden="false" customHeight="true" outlineLevel="0" collapsed="false">
      <c r="C4" s="11"/>
      <c r="D4" s="11"/>
      <c r="E4" s="11"/>
      <c r="F4" s="11"/>
      <c r="G4" s="11"/>
      <c r="H4" s="11"/>
      <c r="I4" s="11"/>
      <c r="J4" s="11"/>
      <c r="K4" s="11"/>
      <c r="L4" s="11"/>
      <c r="S4" s="12" t="s">
        <v>3</v>
      </c>
      <c r="T4" s="12"/>
      <c r="U4" s="12" t="s">
        <v>4</v>
      </c>
      <c r="V4" s="12"/>
      <c r="W4" s="12" t="s">
        <v>5</v>
      </c>
      <c r="X4" s="12"/>
      <c r="Y4" s="13"/>
    </row>
    <row r="5" s="14" customFormat="true" ht="111.75" hidden="false" customHeight="true" outlineLevel="0" collapsed="false">
      <c r="B5" s="15"/>
      <c r="C5" s="16" t="str">
        <f aca="false">B6</f>
        <v>Hardware Kosten</v>
      </c>
      <c r="D5" s="16" t="str">
        <f aca="false">B7</f>
        <v>Gewicht Hardware</v>
      </c>
      <c r="E5" s="16" t="str">
        <f aca="false">B8</f>
        <v>ROS2-Verfügbarkeit</v>
      </c>
      <c r="F5" s="16" t="str">
        <f aca="false">B9</f>
        <v>Rechenaufwand</v>
      </c>
      <c r="G5" s="16" t="str">
        <f aca="false">B10</f>
        <v>Kompatibilität mit Versuchsumgebung</v>
      </c>
      <c r="H5" s="16" t="str">
        <f aca="false">B11</f>
        <v>Vorbereitung Versuchsumgebung</v>
      </c>
      <c r="I5" s="16" t="str">
        <f aca="false">B12</f>
        <v>Driftanfälligkeit</v>
      </c>
      <c r="J5" s="17" t="e">
        <f aca="false">#REF!</f>
        <v>#REF!</v>
      </c>
      <c r="K5" s="16" t="e">
        <f aca="false">#REF!</f>
        <v>#REF!</v>
      </c>
      <c r="L5" s="18" t="e">
        <f aca="false">#REF!</f>
        <v>#REF!</v>
      </c>
      <c r="M5" s="19" t="s">
        <v>6</v>
      </c>
      <c r="N5" s="20" t="s">
        <v>7</v>
      </c>
      <c r="O5" s="21"/>
      <c r="Q5" s="22"/>
      <c r="R5" s="20" t="s">
        <v>8</v>
      </c>
      <c r="S5" s="23" t="s">
        <v>9</v>
      </c>
      <c r="T5" s="20" t="s">
        <v>10</v>
      </c>
      <c r="U5" s="19" t="s">
        <v>9</v>
      </c>
      <c r="V5" s="20" t="s">
        <v>10</v>
      </c>
      <c r="W5" s="19" t="s">
        <v>9</v>
      </c>
      <c r="X5" s="20" t="s">
        <v>10</v>
      </c>
      <c r="Y5" s="21"/>
      <c r="AA5" s="24"/>
      <c r="AB5" s="24" t="s">
        <v>3</v>
      </c>
      <c r="AC5" s="24" t="s">
        <v>4</v>
      </c>
      <c r="AD5" s="24" t="s">
        <v>11</v>
      </c>
      <c r="AW5" s="0"/>
      <c r="AX5" s="0"/>
      <c r="AY5" s="0"/>
      <c r="AZ5" s="0"/>
      <c r="BA5" s="0"/>
      <c r="BB5" s="0"/>
    </row>
    <row r="6" customFormat="false" ht="34.5" hidden="false" customHeight="true" outlineLevel="0" collapsed="false">
      <c r="B6" s="25" t="s">
        <v>12</v>
      </c>
      <c r="C6" s="26"/>
      <c r="D6" s="27" t="n">
        <v>1</v>
      </c>
      <c r="E6" s="27" t="n">
        <v>0</v>
      </c>
      <c r="F6" s="27" t="n">
        <v>1</v>
      </c>
      <c r="G6" s="27" t="n">
        <v>0</v>
      </c>
      <c r="H6" s="27" t="n">
        <v>1</v>
      </c>
      <c r="I6" s="27" t="n">
        <v>1</v>
      </c>
      <c r="J6" s="27" t="n">
        <v>0</v>
      </c>
      <c r="K6" s="27" t="n">
        <v>1</v>
      </c>
      <c r="L6" s="28" t="n">
        <v>1</v>
      </c>
      <c r="M6" s="29" t="n">
        <f aca="false">SUM(C6:L6)</f>
        <v>6</v>
      </c>
      <c r="N6" s="30" t="n">
        <f aca="false">M6/(SUM($M$6:$M$12))</f>
        <v>0.171428571428571</v>
      </c>
      <c r="O6" s="31"/>
      <c r="Q6" s="32" t="str">
        <f aca="false">B6</f>
        <v>Hardware Kosten</v>
      </c>
      <c r="R6" s="33" t="n">
        <f aca="false">N6</f>
        <v>0.171428571428571</v>
      </c>
      <c r="S6" s="34" t="n">
        <v>5</v>
      </c>
      <c r="T6" s="35" t="n">
        <f aca="false">S6*N6</f>
        <v>0.857142857142857</v>
      </c>
      <c r="U6" s="36" t="n">
        <v>4</v>
      </c>
      <c r="V6" s="35" t="n">
        <f aca="false">N6*U6</f>
        <v>0.685714285714286</v>
      </c>
      <c r="W6" s="36" t="n">
        <v>2</v>
      </c>
      <c r="X6" s="35" t="n">
        <f aca="false">W6*N6</f>
        <v>0.342857142857143</v>
      </c>
      <c r="Y6" s="21"/>
      <c r="AA6" s="24" t="s">
        <v>13</v>
      </c>
      <c r="AB6" s="24" t="n">
        <v>0.986</v>
      </c>
      <c r="AC6" s="24" t="n">
        <v>0.989</v>
      </c>
      <c r="AD6" s="24" t="n">
        <v>0.826</v>
      </c>
      <c r="AW6" s="0"/>
      <c r="AX6" s="0"/>
      <c r="AY6" s="0"/>
    </row>
    <row r="7" customFormat="false" ht="34.5" hidden="false" customHeight="true" outlineLevel="0" collapsed="false">
      <c r="B7" s="25" t="s">
        <v>14</v>
      </c>
      <c r="C7" s="37" t="n">
        <v>1</v>
      </c>
      <c r="D7" s="26"/>
      <c r="E7" s="38" t="n">
        <v>0</v>
      </c>
      <c r="F7" s="38" t="n">
        <v>1</v>
      </c>
      <c r="G7" s="38" t="n">
        <v>0</v>
      </c>
      <c r="H7" s="38" t="n">
        <v>1</v>
      </c>
      <c r="I7" s="38" t="n">
        <v>1</v>
      </c>
      <c r="J7" s="38" t="n">
        <v>0</v>
      </c>
      <c r="K7" s="38" t="n">
        <v>1</v>
      </c>
      <c r="L7" s="39" t="n">
        <v>1</v>
      </c>
      <c r="M7" s="40" t="n">
        <f aca="false">SUM(C7:L7)</f>
        <v>6</v>
      </c>
      <c r="N7" s="41" t="n">
        <f aca="false">M7/(SUM($M$6:$M$12))</f>
        <v>0.171428571428571</v>
      </c>
      <c r="O7" s="31"/>
      <c r="Q7" s="32" t="str">
        <f aca="false">B7</f>
        <v>Gewicht Hardware</v>
      </c>
      <c r="R7" s="42" t="n">
        <f aca="false">N7</f>
        <v>0.171428571428571</v>
      </c>
      <c r="S7" s="43" t="n">
        <v>5</v>
      </c>
      <c r="T7" s="35" t="n">
        <f aca="false">S7*N7</f>
        <v>0.857142857142857</v>
      </c>
      <c r="U7" s="44" t="n">
        <v>4</v>
      </c>
      <c r="V7" s="45" t="n">
        <f aca="false">N7*U7</f>
        <v>0.685714285714286</v>
      </c>
      <c r="W7" s="44" t="n">
        <v>2</v>
      </c>
      <c r="X7" s="45" t="n">
        <f aca="false">W7*N7</f>
        <v>0.342857142857143</v>
      </c>
      <c r="Y7" s="21"/>
      <c r="AA7" s="24" t="s">
        <v>15</v>
      </c>
      <c r="AB7" s="24" t="n">
        <v>0.98</v>
      </c>
      <c r="AC7" s="24" t="n">
        <v>0.97</v>
      </c>
      <c r="AD7" s="24" t="n">
        <v>0.756</v>
      </c>
      <c r="AW7" s="0"/>
      <c r="AX7" s="0"/>
      <c r="AY7" s="0"/>
    </row>
    <row r="8" customFormat="false" ht="34.5" hidden="false" customHeight="true" outlineLevel="0" collapsed="false">
      <c r="B8" s="25" t="s">
        <v>16</v>
      </c>
      <c r="C8" s="37" t="n">
        <f aca="false">-E6+1</f>
        <v>1</v>
      </c>
      <c r="D8" s="46" t="n">
        <f aca="false">-E7+1</f>
        <v>1</v>
      </c>
      <c r="E8" s="26"/>
      <c r="F8" s="38" t="n">
        <v>1</v>
      </c>
      <c r="G8" s="38" t="n">
        <v>0</v>
      </c>
      <c r="H8" s="38" t="n">
        <v>1</v>
      </c>
      <c r="I8" s="38" t="n">
        <v>1</v>
      </c>
      <c r="J8" s="38" t="n">
        <v>1</v>
      </c>
      <c r="K8" s="38" t="n">
        <v>1</v>
      </c>
      <c r="L8" s="39" t="n">
        <v>1</v>
      </c>
      <c r="M8" s="40" t="n">
        <f aca="false">SUM(C8:L8)</f>
        <v>8</v>
      </c>
      <c r="N8" s="41" t="n">
        <f aca="false">M8/(SUM($M$6:$M$12))</f>
        <v>0.228571428571429</v>
      </c>
      <c r="O8" s="31"/>
      <c r="Q8" s="32" t="str">
        <f aca="false">B8</f>
        <v>ROS2-Verfügbarkeit</v>
      </c>
      <c r="R8" s="42" t="n">
        <f aca="false">N8</f>
        <v>0.228571428571429</v>
      </c>
      <c r="S8" s="43" t="n">
        <v>5</v>
      </c>
      <c r="T8" s="45" t="n">
        <f aca="false">S8*N8</f>
        <v>1.14285714285714</v>
      </c>
      <c r="U8" s="44" t="n">
        <v>4</v>
      </c>
      <c r="V8" s="45" t="n">
        <f aca="false">N8*U8</f>
        <v>0.914285714285714</v>
      </c>
      <c r="W8" s="44" t="n">
        <v>2</v>
      </c>
      <c r="X8" s="45" t="n">
        <f aca="false">W8*N8</f>
        <v>0.457142857142857</v>
      </c>
      <c r="Y8" s="21"/>
      <c r="AA8" s="24" t="s">
        <v>17</v>
      </c>
      <c r="AB8" s="47" t="n">
        <f aca="false">(2*AB6*AB7)/(AB6+AB7)</f>
        <v>0.982990844354018</v>
      </c>
      <c r="AC8" s="47" t="n">
        <f aca="false">(2*AC6*AC7)/(AC6+AC7)</f>
        <v>0.97940786115365</v>
      </c>
      <c r="AD8" s="47" t="n">
        <f aca="false">(2*AD6*AD7)/(AD6+AD7)</f>
        <v>0.789451327433628</v>
      </c>
      <c r="AW8" s="0"/>
      <c r="AX8" s="0"/>
      <c r="AY8" s="0"/>
    </row>
    <row r="9" customFormat="false" ht="34.5" hidden="false" customHeight="true" outlineLevel="0" collapsed="false">
      <c r="B9" s="25" t="s">
        <v>18</v>
      </c>
      <c r="C9" s="37" t="n">
        <f aca="false">-F6+1</f>
        <v>0</v>
      </c>
      <c r="D9" s="46" t="n">
        <f aca="false">-F7+1</f>
        <v>0</v>
      </c>
      <c r="E9" s="46" t="n">
        <f aca="false">-F8+1</f>
        <v>0</v>
      </c>
      <c r="F9" s="26"/>
      <c r="G9" s="38" t="n">
        <v>0</v>
      </c>
      <c r="H9" s="38" t="n">
        <v>1</v>
      </c>
      <c r="I9" s="38" t="n">
        <v>0</v>
      </c>
      <c r="J9" s="38" t="n">
        <v>0</v>
      </c>
      <c r="K9" s="38" t="n">
        <v>1</v>
      </c>
      <c r="L9" s="39" t="n">
        <v>0</v>
      </c>
      <c r="M9" s="40" t="n">
        <f aca="false">SUM(C9:L9)</f>
        <v>2</v>
      </c>
      <c r="N9" s="41" t="n">
        <f aca="false">M9/(SUM($M$6:$M$12))</f>
        <v>0.0571428571428571</v>
      </c>
      <c r="O9" s="31"/>
      <c r="Q9" s="32" t="str">
        <f aca="false">B9</f>
        <v>Rechenaufwand</v>
      </c>
      <c r="R9" s="42" t="n">
        <f aca="false">N9</f>
        <v>0.0571428571428571</v>
      </c>
      <c r="S9" s="43" t="n">
        <v>5</v>
      </c>
      <c r="T9" s="45" t="n">
        <f aca="false">S9*N9</f>
        <v>0.285714285714286</v>
      </c>
      <c r="U9" s="44" t="n">
        <v>4</v>
      </c>
      <c r="V9" s="45" t="n">
        <f aca="false">N9*U9</f>
        <v>0.228571428571429</v>
      </c>
      <c r="W9" s="44" t="n">
        <v>3</v>
      </c>
      <c r="X9" s="45" t="n">
        <f aca="false">W9*N9</f>
        <v>0.171428571428571</v>
      </c>
      <c r="Y9" s="21"/>
      <c r="AA9" s="24" t="s">
        <v>19</v>
      </c>
      <c r="AB9" s="24" t="n">
        <v>0.992</v>
      </c>
      <c r="AC9" s="24" t="n">
        <v>0.989</v>
      </c>
      <c r="AD9" s="47" t="n">
        <v>0.842</v>
      </c>
      <c r="AW9" s="0"/>
      <c r="AX9" s="0"/>
      <c r="AY9" s="0"/>
    </row>
    <row r="10" customFormat="false" ht="34.5" hidden="false" customHeight="true" outlineLevel="0" collapsed="false">
      <c r="B10" s="25" t="s">
        <v>20</v>
      </c>
      <c r="C10" s="37" t="n">
        <f aca="false">-G6+1</f>
        <v>1</v>
      </c>
      <c r="D10" s="46" t="n">
        <f aca="false">-G7+1</f>
        <v>1</v>
      </c>
      <c r="E10" s="46" t="n">
        <f aca="false">-G8+1</f>
        <v>1</v>
      </c>
      <c r="F10" s="46" t="n">
        <f aca="false">-G9+1</f>
        <v>1</v>
      </c>
      <c r="G10" s="26"/>
      <c r="H10" s="38" t="n">
        <v>1</v>
      </c>
      <c r="I10" s="38" t="n">
        <v>1</v>
      </c>
      <c r="J10" s="38" t="n">
        <v>1</v>
      </c>
      <c r="K10" s="38" t="n">
        <v>1</v>
      </c>
      <c r="L10" s="39" t="n">
        <v>1</v>
      </c>
      <c r="M10" s="40" t="n">
        <f aca="false">SUM(C10:L10)</f>
        <v>9</v>
      </c>
      <c r="N10" s="41" t="n">
        <f aca="false">M10/(SUM($M$6:$M$12))</f>
        <v>0.257142857142857</v>
      </c>
      <c r="O10" s="31"/>
      <c r="Q10" s="32" t="str">
        <f aca="false">B10</f>
        <v>Kompatibilität mit Versuchsumgebung</v>
      </c>
      <c r="R10" s="42" t="n">
        <f aca="false">N10</f>
        <v>0.257142857142857</v>
      </c>
      <c r="S10" s="43" t="n">
        <v>4</v>
      </c>
      <c r="T10" s="45" t="n">
        <f aca="false">S10*N10</f>
        <v>1.02857142857143</v>
      </c>
      <c r="U10" s="44" t="n">
        <v>4</v>
      </c>
      <c r="V10" s="45" t="n">
        <f aca="false">N10*U10</f>
        <v>1.02857142857143</v>
      </c>
      <c r="W10" s="44" t="n">
        <v>1</v>
      </c>
      <c r="X10" s="45" t="n">
        <f aca="false">W10*N10</f>
        <v>0.257142857142857</v>
      </c>
      <c r="Y10" s="21"/>
      <c r="AA10" s="24" t="s">
        <v>21</v>
      </c>
      <c r="AB10" s="24" t="n">
        <v>0.927</v>
      </c>
      <c r="AC10" s="24" t="n">
        <v>0.922</v>
      </c>
      <c r="AD10" s="47" t="n">
        <v>0.576</v>
      </c>
      <c r="AW10" s="0"/>
      <c r="AX10" s="0"/>
      <c r="AY10" s="0"/>
    </row>
    <row r="11" customFormat="false" ht="34.5" hidden="false" customHeight="true" outlineLevel="0" collapsed="false">
      <c r="B11" s="48" t="s">
        <v>22</v>
      </c>
      <c r="C11" s="37" t="n">
        <f aca="false">-H6+1</f>
        <v>0</v>
      </c>
      <c r="D11" s="46" t="n">
        <f aca="false">-H7+1</f>
        <v>0</v>
      </c>
      <c r="E11" s="46" t="n">
        <f aca="false">-H8+1</f>
        <v>0</v>
      </c>
      <c r="F11" s="46" t="n">
        <f aca="false">-H9+1</f>
        <v>0</v>
      </c>
      <c r="G11" s="46" t="n">
        <f aca="false">-H10+1</f>
        <v>0</v>
      </c>
      <c r="H11" s="26"/>
      <c r="I11" s="38" t="n">
        <v>1</v>
      </c>
      <c r="J11" s="38" t="n">
        <v>0</v>
      </c>
      <c r="K11" s="38" t="n">
        <v>1</v>
      </c>
      <c r="L11" s="39" t="n">
        <v>0</v>
      </c>
      <c r="M11" s="40" t="n">
        <f aca="false">SUM(C11:L11)</f>
        <v>2</v>
      </c>
      <c r="N11" s="41" t="n">
        <f aca="false">M11/(SUM($M$6:$M$12))</f>
        <v>0.0571428571428571</v>
      </c>
      <c r="O11" s="31"/>
      <c r="Q11" s="32" t="str">
        <f aca="false">B11</f>
        <v>Vorbereitung Versuchsumgebung</v>
      </c>
      <c r="R11" s="42" t="n">
        <f aca="false">N11</f>
        <v>0.0571428571428571</v>
      </c>
      <c r="S11" s="43" t="n">
        <v>5</v>
      </c>
      <c r="T11" s="45" t="n">
        <f aca="false">S11*N11</f>
        <v>0.285714285714286</v>
      </c>
      <c r="U11" s="44" t="n">
        <v>5</v>
      </c>
      <c r="V11" s="45" t="n">
        <f aca="false">N11*U11</f>
        <v>0.285714285714286</v>
      </c>
      <c r="W11" s="44" t="n">
        <v>3</v>
      </c>
      <c r="X11" s="45" t="n">
        <f aca="false">W11*N11</f>
        <v>0.171428571428571</v>
      </c>
      <c r="Y11" s="21"/>
      <c r="AA11" s="24" t="s">
        <v>23</v>
      </c>
      <c r="AB11" s="24"/>
      <c r="AC11" s="24"/>
      <c r="AD11" s="24"/>
      <c r="AW11" s="0"/>
      <c r="AX11" s="0"/>
      <c r="AY11" s="0"/>
    </row>
    <row r="12" customFormat="false" ht="34.5" hidden="false" customHeight="true" outlineLevel="0" collapsed="false">
      <c r="B12" s="49" t="s">
        <v>24</v>
      </c>
      <c r="C12" s="50" t="n">
        <f aca="false">-I6+1</f>
        <v>0</v>
      </c>
      <c r="D12" s="51" t="n">
        <f aca="false">-I7+1</f>
        <v>0</v>
      </c>
      <c r="E12" s="51" t="n">
        <f aca="false">-I8+1</f>
        <v>0</v>
      </c>
      <c r="F12" s="51" t="n">
        <f aca="false">-I9+1</f>
        <v>1</v>
      </c>
      <c r="G12" s="51" t="n">
        <f aca="false">-I10+1</f>
        <v>0</v>
      </c>
      <c r="H12" s="51" t="n">
        <f aca="false">-I11+1</f>
        <v>0</v>
      </c>
      <c r="I12" s="52"/>
      <c r="J12" s="38" t="n">
        <v>0</v>
      </c>
      <c r="K12" s="38" t="n">
        <v>1</v>
      </c>
      <c r="L12" s="39" t="n">
        <v>0</v>
      </c>
      <c r="M12" s="40" t="n">
        <f aca="false">SUM(C12:L12)</f>
        <v>2</v>
      </c>
      <c r="N12" s="41" t="n">
        <f aca="false">M12/(SUM($M$6:$M$12))</f>
        <v>0.0571428571428571</v>
      </c>
      <c r="O12" s="31"/>
      <c r="Q12" s="32" t="str">
        <f aca="false">B12</f>
        <v>Driftanfälligkeit</v>
      </c>
      <c r="R12" s="42" t="n">
        <f aca="false">N12</f>
        <v>0.0571428571428571</v>
      </c>
      <c r="S12" s="43" t="n">
        <v>4</v>
      </c>
      <c r="T12" s="45" t="n">
        <f aca="false">S12*N12</f>
        <v>0.228571428571429</v>
      </c>
      <c r="U12" s="44" t="n">
        <v>4</v>
      </c>
      <c r="V12" s="45" t="n">
        <f aca="false">N12*U12</f>
        <v>0.228571428571429</v>
      </c>
      <c r="W12" s="44" t="n">
        <v>1</v>
      </c>
      <c r="X12" s="45" t="n">
        <f aca="false">W12*N12</f>
        <v>0.0571428571428571</v>
      </c>
      <c r="Y12" s="21"/>
      <c r="AA12" s="24" t="s">
        <v>25</v>
      </c>
      <c r="AB12" s="24"/>
      <c r="AC12" s="24"/>
      <c r="AD12" s="24"/>
      <c r="AW12" s="0"/>
      <c r="AX12" s="0"/>
      <c r="AY12" s="0"/>
    </row>
    <row r="13" customFormat="false" ht="34.5" hidden="false" customHeight="true" outlineLevel="0" collapsed="false">
      <c r="L13" s="53"/>
      <c r="M13" s="54" t="s">
        <v>26</v>
      </c>
      <c r="N13" s="55" t="n">
        <f aca="false">SUM(N5:N12)</f>
        <v>1</v>
      </c>
      <c r="O13" s="31"/>
      <c r="Q13" s="56"/>
      <c r="R13" s="57" t="s">
        <v>6</v>
      </c>
      <c r="S13" s="58"/>
      <c r="T13" s="59" t="n">
        <f aca="false">SUM(T6:T12)</f>
        <v>4.68571428571429</v>
      </c>
      <c r="U13" s="58"/>
      <c r="V13" s="59" t="n">
        <f aca="false">SUM(V6:V12)</f>
        <v>4.05714285714286</v>
      </c>
      <c r="W13" s="58"/>
      <c r="X13" s="59" t="n">
        <f aca="false">SUM(X6:X12)</f>
        <v>1.8</v>
      </c>
      <c r="Y13" s="21"/>
    </row>
    <row r="14" customFormat="false" ht="34.5" hidden="false" customHeight="true" outlineLevel="0" collapsed="false">
      <c r="B14" s="2" t="s">
        <v>27</v>
      </c>
      <c r="N14" s="60"/>
      <c r="O14" s="31"/>
      <c r="Y14" s="21"/>
    </row>
    <row r="15" customFormat="false" ht="34.5" hidden="false" customHeight="true" outlineLevel="0" collapsed="false">
      <c r="B15" s="2" t="s">
        <v>27</v>
      </c>
      <c r="O15" s="31"/>
      <c r="Q15" s="2" t="s">
        <v>28</v>
      </c>
      <c r="Y15" s="21"/>
    </row>
    <row r="16" customFormat="false" ht="15" hidden="false" customHeight="false" outlineLevel="0" collapsed="false">
      <c r="O16" s="31"/>
      <c r="Q16" s="2" t="s">
        <v>29</v>
      </c>
    </row>
    <row r="17" customFormat="false" ht="15" hidden="false" customHeight="false" outlineLevel="0" collapsed="false"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0"/>
      <c r="Q17" s="2" t="s">
        <v>30</v>
      </c>
    </row>
    <row r="20" customFormat="false" ht="15" hidden="false" customHeight="false" outlineLevel="0" collapsed="false">
      <c r="A20" s="61"/>
      <c r="O20" s="61"/>
    </row>
  </sheetData>
  <mergeCells count="6">
    <mergeCell ref="B1:N1"/>
    <mergeCell ref="Q1:X1"/>
    <mergeCell ref="B3:N3"/>
    <mergeCell ref="S4:T4"/>
    <mergeCell ref="U4:V4"/>
    <mergeCell ref="W4:X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8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P5" activeCellId="0" sqref="P5"/>
    </sheetView>
  </sheetViews>
  <sheetFormatPr defaultColWidth="11.38671875" defaultRowHeight="15" customHeight="false" zeroHeight="false" outlineLevelRow="0" outlineLevelCol="0"/>
  <cols>
    <col collapsed="false" customWidth="true" hidden="false" outlineLevel="0" max="1" min="1" style="1" width="2.31"/>
    <col collapsed="false" customWidth="true" hidden="false" outlineLevel="0" max="2" min="2" style="1" width="36"/>
    <col collapsed="false" customWidth="true" hidden="false" outlineLevel="0" max="12" min="3" style="1" width="9.07"/>
    <col collapsed="false" customWidth="true" hidden="false" outlineLevel="0" max="13" min="13" style="1" width="11.07"/>
    <col collapsed="false" customWidth="true" hidden="false" outlineLevel="0" max="15" min="14" style="1" width="2.31"/>
    <col collapsed="false" customWidth="true" hidden="false" outlineLevel="0" max="16" min="16" style="1" width="34.61"/>
    <col collapsed="false" customWidth="false" hidden="false" outlineLevel="0" max="21" min="17" style="2" width="11.39"/>
    <col collapsed="false" customWidth="false" hidden="false" outlineLevel="0" max="23" min="22" style="1" width="11.39"/>
    <col collapsed="false" customWidth="true" hidden="false" outlineLevel="0" max="24" min="24" style="1" width="2.39"/>
    <col collapsed="false" customWidth="false" hidden="false" outlineLevel="0" max="25" min="25" style="1" width="11.39"/>
    <col collapsed="false" customWidth="true" hidden="false" outlineLevel="0" max="26" min="26" style="1" width="17"/>
    <col collapsed="false" customWidth="false" hidden="false" outlineLevel="0" max="28" min="27" style="1" width="11.39"/>
    <col collapsed="false" customWidth="true" hidden="false" outlineLevel="0" max="29" min="29" style="1" width="17.92"/>
    <col collapsed="false" customWidth="false" hidden="false" outlineLevel="0" max="16384" min="30" style="1" width="11.39"/>
  </cols>
  <sheetData>
    <row r="1" s="6" customFormat="true" ht="33" hidden="false" customHeight="true" outlineLevel="0" collapsed="false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3"/>
      <c r="P1" s="4" t="s">
        <v>1</v>
      </c>
      <c r="Q1" s="4"/>
      <c r="R1" s="4"/>
      <c r="S1" s="4"/>
      <c r="T1" s="4"/>
      <c r="U1" s="4"/>
      <c r="V1" s="4"/>
      <c r="W1" s="4"/>
      <c r="X1" s="5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="3" customFormat="true" ht="8.25" hidden="false" customHeight="true" outlineLevel="0" collapsed="false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P2" s="7"/>
      <c r="Q2" s="7"/>
      <c r="R2" s="7"/>
      <c r="S2" s="7"/>
      <c r="T2" s="7"/>
      <c r="U2" s="7"/>
      <c r="V2" s="7"/>
      <c r="W2" s="7"/>
      <c r="X2" s="7"/>
    </row>
    <row r="3" customFormat="false" ht="27" hidden="false" customHeight="true" outlineLevel="0" collapsed="false">
      <c r="C3" s="11"/>
      <c r="D3" s="11"/>
      <c r="E3" s="11"/>
      <c r="F3" s="11"/>
      <c r="G3" s="11"/>
      <c r="H3" s="11"/>
      <c r="I3" s="11"/>
      <c r="J3" s="11"/>
      <c r="K3" s="11"/>
      <c r="R3" s="12" t="s">
        <v>31</v>
      </c>
      <c r="S3" s="12"/>
      <c r="T3" s="12" t="s">
        <v>32</v>
      </c>
      <c r="U3" s="12"/>
      <c r="V3" s="12" t="s">
        <v>33</v>
      </c>
      <c r="W3" s="12"/>
      <c r="X3" s="13"/>
    </row>
    <row r="4" s="14" customFormat="true" ht="111.75" hidden="false" customHeight="true" outlineLevel="0" collapsed="false">
      <c r="B4" s="15"/>
      <c r="C4" s="16" t="str">
        <f aca="false">B5</f>
        <v>Precision</v>
      </c>
      <c r="D4" s="16" t="str">
        <f aca="false">B6</f>
        <v>Recall</v>
      </c>
      <c r="E4" s="16" t="str">
        <f aca="false">B7</f>
        <v>F1</v>
      </c>
      <c r="F4" s="16" t="str">
        <f aca="false">B8</f>
        <v>mAP50</v>
      </c>
      <c r="G4" s="16" t="str">
        <f aca="false">B9</f>
        <v>mAP-5095</v>
      </c>
      <c r="H4" s="16" t="str">
        <f aca="false">B10</f>
        <v>Kompatibilität</v>
      </c>
      <c r="I4" s="16" t="str">
        <f aca="false">B11</f>
        <v>Dokumentation</v>
      </c>
      <c r="J4" s="16" t="str">
        <f aca="false">B12</f>
        <v>P95 Pipeline-Latenz</v>
      </c>
      <c r="K4" s="16" t="str">
        <f aca="false">B13</f>
        <v>Latenz</v>
      </c>
      <c r="L4" s="19" t="s">
        <v>6</v>
      </c>
      <c r="M4" s="20" t="s">
        <v>7</v>
      </c>
      <c r="N4" s="21"/>
      <c r="P4" s="22"/>
      <c r="Q4" s="20" t="s">
        <v>8</v>
      </c>
      <c r="R4" s="23" t="s">
        <v>9</v>
      </c>
      <c r="S4" s="20" t="s">
        <v>10</v>
      </c>
      <c r="T4" s="23" t="s">
        <v>9</v>
      </c>
      <c r="U4" s="20" t="s">
        <v>10</v>
      </c>
      <c r="V4" s="19" t="s">
        <v>9</v>
      </c>
      <c r="W4" s="20" t="s">
        <v>10</v>
      </c>
      <c r="X4" s="21"/>
      <c r="Z4" s="24"/>
      <c r="AA4" s="24" t="s">
        <v>3</v>
      </c>
      <c r="AB4" s="24" t="s">
        <v>4</v>
      </c>
      <c r="AC4" s="24" t="s">
        <v>11</v>
      </c>
    </row>
    <row r="5" customFormat="false" ht="34.5" hidden="false" customHeight="true" outlineLevel="0" collapsed="false">
      <c r="B5" s="25" t="s">
        <v>13</v>
      </c>
      <c r="C5" s="26"/>
      <c r="D5" s="27" t="n">
        <v>1</v>
      </c>
      <c r="E5" s="27" t="n">
        <v>0</v>
      </c>
      <c r="F5" s="27" t="n">
        <v>1</v>
      </c>
      <c r="G5" s="27" t="n">
        <v>0</v>
      </c>
      <c r="H5" s="27" t="n">
        <v>1</v>
      </c>
      <c r="I5" s="27" t="n">
        <v>1</v>
      </c>
      <c r="J5" s="27" t="n">
        <v>0</v>
      </c>
      <c r="K5" s="27" t="n">
        <v>1</v>
      </c>
      <c r="L5" s="29" t="n">
        <f aca="false">SUM(C5:K5)</f>
        <v>5</v>
      </c>
      <c r="M5" s="30" t="n">
        <f aca="false">L5/(SUM($L$5:$L$13))</f>
        <v>0.138888888888889</v>
      </c>
      <c r="N5" s="31"/>
      <c r="P5" s="32" t="str">
        <f aca="false">B5</f>
        <v>Precision</v>
      </c>
      <c r="Q5" s="33" t="n">
        <f aca="false">M5</f>
        <v>0.138888888888889</v>
      </c>
      <c r="R5" s="34" t="n">
        <v>4</v>
      </c>
      <c r="S5" s="35" t="n">
        <f aca="false">R5*M5</f>
        <v>0.555555555555556</v>
      </c>
      <c r="T5" s="34" t="n">
        <v>5</v>
      </c>
      <c r="U5" s="35" t="n">
        <f aca="false">M5*T5</f>
        <v>0.694444444444444</v>
      </c>
      <c r="V5" s="36" t="n">
        <v>3</v>
      </c>
      <c r="W5" s="35" t="n">
        <f aca="false">V5*M5</f>
        <v>0.416666666666667</v>
      </c>
      <c r="X5" s="21"/>
      <c r="Z5" s="24" t="s">
        <v>13</v>
      </c>
      <c r="AA5" s="24" t="n">
        <v>0.986</v>
      </c>
      <c r="AB5" s="24" t="n">
        <v>0.996</v>
      </c>
      <c r="AC5" s="24" t="n">
        <v>0.861</v>
      </c>
    </row>
    <row r="6" customFormat="false" ht="34.5" hidden="false" customHeight="true" outlineLevel="0" collapsed="false">
      <c r="B6" s="25" t="s">
        <v>15</v>
      </c>
      <c r="C6" s="37" t="n">
        <f aca="false">0-D5+1</f>
        <v>0</v>
      </c>
      <c r="D6" s="26"/>
      <c r="E6" s="38" t="n">
        <v>0</v>
      </c>
      <c r="F6" s="38" t="n">
        <v>1</v>
      </c>
      <c r="G6" s="38" t="n">
        <v>0</v>
      </c>
      <c r="H6" s="38" t="n">
        <v>1</v>
      </c>
      <c r="I6" s="38" t="n">
        <v>1</v>
      </c>
      <c r="J6" s="38" t="n">
        <v>0</v>
      </c>
      <c r="K6" s="38" t="n">
        <v>1</v>
      </c>
      <c r="L6" s="40" t="n">
        <f aca="false">SUM(C6:K6)</f>
        <v>4</v>
      </c>
      <c r="M6" s="41" t="n">
        <f aca="false">L6/(SUM($L$5:$L$13))</f>
        <v>0.111111111111111</v>
      </c>
      <c r="N6" s="31"/>
      <c r="P6" s="32" t="str">
        <f aca="false">B6</f>
        <v>Recall</v>
      </c>
      <c r="Q6" s="42" t="n">
        <f aca="false">M6</f>
        <v>0.111111111111111</v>
      </c>
      <c r="R6" s="43" t="n">
        <v>5</v>
      </c>
      <c r="S6" s="35" t="n">
        <f aca="false">R6*M6</f>
        <v>0.555555555555556</v>
      </c>
      <c r="T6" s="43" t="n">
        <v>4</v>
      </c>
      <c r="U6" s="35" t="n">
        <f aca="false">M6*T6</f>
        <v>0.444444444444444</v>
      </c>
      <c r="V6" s="44" t="n">
        <v>2</v>
      </c>
      <c r="W6" s="45" t="n">
        <f aca="false">V6*M6</f>
        <v>0.222222222222222</v>
      </c>
      <c r="X6" s="21"/>
      <c r="Z6" s="24" t="s">
        <v>15</v>
      </c>
      <c r="AA6" s="24" t="n">
        <v>0.982</v>
      </c>
      <c r="AB6" s="24" t="n">
        <v>0.979</v>
      </c>
      <c r="AC6" s="24" t="n">
        <v>0.654</v>
      </c>
    </row>
    <row r="7" customFormat="false" ht="34.5" hidden="false" customHeight="true" outlineLevel="0" collapsed="false">
      <c r="B7" s="25" t="s">
        <v>17</v>
      </c>
      <c r="C7" s="37" t="n">
        <f aca="false">-E5+1</f>
        <v>1</v>
      </c>
      <c r="D7" s="46" t="n">
        <f aca="false">-E6+1</f>
        <v>1</v>
      </c>
      <c r="E7" s="26"/>
      <c r="F7" s="38" t="n">
        <v>1</v>
      </c>
      <c r="G7" s="38" t="n">
        <v>0</v>
      </c>
      <c r="H7" s="38" t="n">
        <v>1</v>
      </c>
      <c r="I7" s="38" t="n">
        <v>1</v>
      </c>
      <c r="J7" s="38" t="n">
        <v>1</v>
      </c>
      <c r="K7" s="38" t="n">
        <v>1</v>
      </c>
      <c r="L7" s="40" t="n">
        <f aca="false">SUM(C7:K7)</f>
        <v>7</v>
      </c>
      <c r="M7" s="41" t="n">
        <f aca="false">L7/(SUM($L$5:$L$13))</f>
        <v>0.194444444444444</v>
      </c>
      <c r="N7" s="31"/>
      <c r="P7" s="32" t="str">
        <f aca="false">B7</f>
        <v>F1</v>
      </c>
      <c r="Q7" s="42" t="n">
        <f aca="false">M7</f>
        <v>0.194444444444444</v>
      </c>
      <c r="R7" s="43" t="n">
        <v>4</v>
      </c>
      <c r="S7" s="45" t="n">
        <f aca="false">R7*M7</f>
        <v>0.777777777777778</v>
      </c>
      <c r="T7" s="43" t="n">
        <v>5</v>
      </c>
      <c r="U7" s="45" t="n">
        <f aca="false">M7*T7</f>
        <v>0.972222222222222</v>
      </c>
      <c r="V7" s="44" t="n">
        <v>2</v>
      </c>
      <c r="W7" s="45" t="n">
        <f aca="false">V7*M7</f>
        <v>0.388888888888889</v>
      </c>
      <c r="X7" s="21"/>
      <c r="Z7" s="24" t="s">
        <v>17</v>
      </c>
      <c r="AA7" s="47" t="n">
        <f aca="false">(2*AA5*AA6)/(AA5+AA6)</f>
        <v>0.98399593495935</v>
      </c>
      <c r="AB7" s="47" t="n">
        <f aca="false">(2*AB5*AB6)/(AB5+AB6)</f>
        <v>0.987426835443038</v>
      </c>
      <c r="AC7" s="47" t="n">
        <f aca="false">(2*AC5*AC6)/(AC5+AC6)</f>
        <v>0.743358415841584</v>
      </c>
    </row>
    <row r="8" customFormat="false" ht="34.5" hidden="false" customHeight="true" outlineLevel="0" collapsed="false">
      <c r="B8" s="25" t="s">
        <v>19</v>
      </c>
      <c r="C8" s="37" t="n">
        <f aca="false">-F5+1</f>
        <v>0</v>
      </c>
      <c r="D8" s="46" t="n">
        <f aca="false">-F6+1</f>
        <v>0</v>
      </c>
      <c r="E8" s="46" t="n">
        <f aca="false">-F7+1</f>
        <v>0</v>
      </c>
      <c r="F8" s="26"/>
      <c r="G8" s="38" t="n">
        <v>0</v>
      </c>
      <c r="H8" s="38" t="n">
        <v>1</v>
      </c>
      <c r="I8" s="38" t="n">
        <v>0</v>
      </c>
      <c r="J8" s="38" t="n">
        <v>0</v>
      </c>
      <c r="K8" s="38" t="n">
        <v>1</v>
      </c>
      <c r="L8" s="40" t="n">
        <f aca="false">SUM(C8:K8)</f>
        <v>2</v>
      </c>
      <c r="M8" s="41" t="n">
        <f aca="false">L8/(SUM($L$5:$L$13))</f>
        <v>0.0555555555555556</v>
      </c>
      <c r="N8" s="31"/>
      <c r="P8" s="32" t="str">
        <f aca="false">B8</f>
        <v>mAP50</v>
      </c>
      <c r="Q8" s="42" t="n">
        <f aca="false">M8</f>
        <v>0.0555555555555556</v>
      </c>
      <c r="R8" s="43" t="n">
        <v>4</v>
      </c>
      <c r="S8" s="45" t="n">
        <f aca="false">R8*M8</f>
        <v>0.222222222222222</v>
      </c>
      <c r="T8" s="43" t="n">
        <v>5</v>
      </c>
      <c r="U8" s="45" t="n">
        <f aca="false">M8*T8</f>
        <v>0.277777777777778</v>
      </c>
      <c r="V8" s="44" t="n">
        <v>2</v>
      </c>
      <c r="W8" s="45" t="n">
        <f aca="false">V8*M8</f>
        <v>0.111111111111111</v>
      </c>
      <c r="X8" s="21"/>
      <c r="Z8" s="24" t="s">
        <v>19</v>
      </c>
      <c r="AA8" s="24" t="n">
        <v>0.992</v>
      </c>
      <c r="AB8" s="24" t="n">
        <v>0.993</v>
      </c>
      <c r="AC8" s="47" t="n">
        <v>0.76</v>
      </c>
    </row>
    <row r="9" customFormat="false" ht="34.5" hidden="false" customHeight="true" outlineLevel="0" collapsed="false">
      <c r="B9" s="25" t="s">
        <v>21</v>
      </c>
      <c r="C9" s="37" t="n">
        <f aca="false">-G5+1</f>
        <v>1</v>
      </c>
      <c r="D9" s="46" t="n">
        <f aca="false">-G6+1</f>
        <v>1</v>
      </c>
      <c r="E9" s="46" t="n">
        <f aca="false">-G7+1</f>
        <v>1</v>
      </c>
      <c r="F9" s="46" t="n">
        <f aca="false">-G8+1</f>
        <v>1</v>
      </c>
      <c r="G9" s="26"/>
      <c r="H9" s="38" t="n">
        <v>1</v>
      </c>
      <c r="I9" s="38" t="n">
        <v>1</v>
      </c>
      <c r="J9" s="38" t="n">
        <v>1</v>
      </c>
      <c r="K9" s="38" t="n">
        <v>1</v>
      </c>
      <c r="L9" s="40" t="n">
        <f aca="false">SUM(C9:K9)</f>
        <v>8</v>
      </c>
      <c r="M9" s="41" t="n">
        <f aca="false">L9/(SUM($L$5:$L$13))</f>
        <v>0.222222222222222</v>
      </c>
      <c r="N9" s="31"/>
      <c r="P9" s="32" t="str">
        <f aca="false">B9</f>
        <v>mAP-5095</v>
      </c>
      <c r="Q9" s="42" t="n">
        <f aca="false">M9</f>
        <v>0.222222222222222</v>
      </c>
      <c r="R9" s="43" t="n">
        <v>4</v>
      </c>
      <c r="S9" s="45" t="n">
        <f aca="false">R9*M9</f>
        <v>0.888888888888889</v>
      </c>
      <c r="T9" s="43" t="n">
        <v>5</v>
      </c>
      <c r="U9" s="45" t="n">
        <f aca="false">M9*T9</f>
        <v>1.11111111111111</v>
      </c>
      <c r="V9" s="44" t="n">
        <v>1</v>
      </c>
      <c r="W9" s="45" t="n">
        <f aca="false">V9*M9</f>
        <v>0.222222222222222</v>
      </c>
      <c r="X9" s="21"/>
      <c r="Z9" s="24" t="s">
        <v>21</v>
      </c>
      <c r="AA9" s="24" t="n">
        <v>0.937</v>
      </c>
      <c r="AB9" s="24" t="n">
        <v>0.938</v>
      </c>
      <c r="AC9" s="47" t="n">
        <v>0.532</v>
      </c>
    </row>
    <row r="10" customFormat="false" ht="34.5" hidden="false" customHeight="true" outlineLevel="0" collapsed="false">
      <c r="B10" s="49" t="s">
        <v>23</v>
      </c>
      <c r="C10" s="37" t="n">
        <f aca="false">-H5+1</f>
        <v>0</v>
      </c>
      <c r="D10" s="46" t="n">
        <f aca="false">-H6+1</f>
        <v>0</v>
      </c>
      <c r="E10" s="46" t="n">
        <f aca="false">-H7+1</f>
        <v>0</v>
      </c>
      <c r="F10" s="46" t="n">
        <f aca="false">-H8+1</f>
        <v>0</v>
      </c>
      <c r="G10" s="46" t="n">
        <f aca="false">-H9+1</f>
        <v>0</v>
      </c>
      <c r="H10" s="26"/>
      <c r="I10" s="38" t="n">
        <v>1</v>
      </c>
      <c r="J10" s="38" t="n">
        <v>0</v>
      </c>
      <c r="K10" s="38" t="n">
        <v>1</v>
      </c>
      <c r="L10" s="40" t="n">
        <f aca="false">SUM(C10:K10)</f>
        <v>2</v>
      </c>
      <c r="M10" s="41" t="n">
        <f aca="false">L10/(SUM($L$5:$L$13))</f>
        <v>0.0555555555555556</v>
      </c>
      <c r="N10" s="31"/>
      <c r="P10" s="32" t="str">
        <f aca="false">B10</f>
        <v>Kompatibilität</v>
      </c>
      <c r="Q10" s="42" t="n">
        <f aca="false">M10</f>
        <v>0.0555555555555556</v>
      </c>
      <c r="R10" s="43" t="n">
        <v>5</v>
      </c>
      <c r="S10" s="45" t="n">
        <f aca="false">R10*M10</f>
        <v>0.277777777777778</v>
      </c>
      <c r="T10" s="43" t="n">
        <v>5</v>
      </c>
      <c r="U10" s="45" t="n">
        <f aca="false">M10*T10</f>
        <v>0.277777777777778</v>
      </c>
      <c r="V10" s="44" t="n">
        <v>3</v>
      </c>
      <c r="W10" s="45" t="n">
        <f aca="false">V10*M10</f>
        <v>0.166666666666667</v>
      </c>
      <c r="X10" s="21"/>
      <c r="Z10" s="24" t="s">
        <v>23</v>
      </c>
      <c r="AA10" s="24"/>
      <c r="AB10" s="24"/>
      <c r="AC10" s="24"/>
    </row>
    <row r="11" customFormat="false" ht="34.5" hidden="false" customHeight="true" outlineLevel="0" collapsed="false">
      <c r="B11" s="48" t="s">
        <v>25</v>
      </c>
      <c r="C11" s="50" t="n">
        <f aca="false">-I5+1</f>
        <v>0</v>
      </c>
      <c r="D11" s="51" t="n">
        <f aca="false">-I6+1</f>
        <v>0</v>
      </c>
      <c r="E11" s="51" t="n">
        <f aca="false">-I7+1</f>
        <v>0</v>
      </c>
      <c r="F11" s="51" t="n">
        <f aca="false">-I8+1</f>
        <v>1</v>
      </c>
      <c r="G11" s="51" t="n">
        <f aca="false">-I9+1</f>
        <v>0</v>
      </c>
      <c r="H11" s="51" t="n">
        <f aca="false">-I10+1</f>
        <v>0</v>
      </c>
      <c r="I11" s="52"/>
      <c r="J11" s="38" t="n">
        <v>0</v>
      </c>
      <c r="K11" s="38" t="n">
        <v>0</v>
      </c>
      <c r="L11" s="40" t="n">
        <f aca="false">SUM(C11:K11)</f>
        <v>1</v>
      </c>
      <c r="M11" s="41" t="n">
        <f aca="false">L11/(SUM($L$5:$L$13))</f>
        <v>0.0277777777777778</v>
      </c>
      <c r="N11" s="31"/>
      <c r="P11" s="32" t="str">
        <f aca="false">B11</f>
        <v>Dokumentation</v>
      </c>
      <c r="Q11" s="42" t="n">
        <f aca="false">M11</f>
        <v>0.0277777777777778</v>
      </c>
      <c r="R11" s="43" t="n">
        <v>5</v>
      </c>
      <c r="S11" s="45" t="n">
        <f aca="false">R11*M11</f>
        <v>0.138888888888889</v>
      </c>
      <c r="T11" s="43" t="n">
        <v>5</v>
      </c>
      <c r="U11" s="45" t="n">
        <f aca="false">M11*T11</f>
        <v>0.138888888888889</v>
      </c>
      <c r="V11" s="44" t="n">
        <v>2</v>
      </c>
      <c r="W11" s="45" t="n">
        <f aca="false">V11*M11</f>
        <v>0.0555555555555556</v>
      </c>
      <c r="X11" s="21"/>
      <c r="Z11" s="24" t="s">
        <v>25</v>
      </c>
      <c r="AA11" s="24"/>
      <c r="AB11" s="24"/>
      <c r="AC11" s="24"/>
    </row>
    <row r="12" customFormat="false" ht="34.5" hidden="false" customHeight="true" outlineLevel="0" collapsed="false">
      <c r="B12" s="48" t="s">
        <v>34</v>
      </c>
      <c r="C12" s="50" t="n">
        <f aca="false">-J5+1</f>
        <v>1</v>
      </c>
      <c r="D12" s="51" t="n">
        <f aca="false">-J6+1</f>
        <v>1</v>
      </c>
      <c r="E12" s="51" t="n">
        <f aca="false">-J7+1</f>
        <v>0</v>
      </c>
      <c r="F12" s="51" t="n">
        <f aca="false">-J8+1</f>
        <v>1</v>
      </c>
      <c r="G12" s="51" t="n">
        <f aca="false">-J9+1</f>
        <v>0</v>
      </c>
      <c r="H12" s="51" t="n">
        <f aca="false">-J10+1</f>
        <v>1</v>
      </c>
      <c r="I12" s="51" t="n">
        <f aca="false">-J11+1</f>
        <v>1</v>
      </c>
      <c r="J12" s="62"/>
      <c r="K12" s="63" t="n">
        <v>1</v>
      </c>
      <c r="L12" s="64" t="n">
        <f aca="false">SUM(C12:K12)</f>
        <v>6</v>
      </c>
      <c r="M12" s="65" t="n">
        <f aca="false">L12/(SUM($L$5:$L$13))</f>
        <v>0.166666666666667</v>
      </c>
      <c r="N12" s="31"/>
      <c r="P12" s="32" t="str">
        <f aca="false">B12</f>
        <v>P95 Pipeline-Latenz</v>
      </c>
      <c r="Q12" s="42" t="n">
        <f aca="false">M12</f>
        <v>0.166666666666667</v>
      </c>
      <c r="R12" s="43" t="n">
        <v>5</v>
      </c>
      <c r="S12" s="45" t="n">
        <f aca="false">R12*M12</f>
        <v>0.833333333333333</v>
      </c>
      <c r="T12" s="43" t="n">
        <v>4</v>
      </c>
      <c r="U12" s="45" t="n">
        <f aca="false">M12*T12</f>
        <v>0.666666666666667</v>
      </c>
      <c r="V12" s="44" t="n">
        <v>3</v>
      </c>
      <c r="W12" s="45" t="n">
        <f aca="false">V12*M12</f>
        <v>0.5</v>
      </c>
      <c r="X12" s="21"/>
      <c r="Z12" s="24" t="s">
        <v>34</v>
      </c>
      <c r="AA12" s="24" t="n">
        <v>17.69</v>
      </c>
      <c r="AB12" s="24" t="n">
        <v>20.11</v>
      </c>
      <c r="AC12" s="24" t="n">
        <v>28.17</v>
      </c>
    </row>
    <row r="13" customFormat="false" ht="34.5" hidden="false" customHeight="true" outlineLevel="0" collapsed="false">
      <c r="B13" s="66" t="s">
        <v>35</v>
      </c>
      <c r="C13" s="67" t="n">
        <f aca="false">-K5+1</f>
        <v>0</v>
      </c>
      <c r="D13" s="68" t="n">
        <f aca="false">-K6+1</f>
        <v>0</v>
      </c>
      <c r="E13" s="68" t="n">
        <f aca="false">-K7+1</f>
        <v>0</v>
      </c>
      <c r="F13" s="68" t="n">
        <f aca="false">-K8+1</f>
        <v>0</v>
      </c>
      <c r="G13" s="68" t="n">
        <f aca="false">-K9+1</f>
        <v>0</v>
      </c>
      <c r="H13" s="68" t="n">
        <f aca="false">-K10+1</f>
        <v>0</v>
      </c>
      <c r="I13" s="68" t="n">
        <f aca="false">-K11+1</f>
        <v>1</v>
      </c>
      <c r="J13" s="68" t="n">
        <f aca="false">-K12+1</f>
        <v>0</v>
      </c>
      <c r="K13" s="69"/>
      <c r="L13" s="70" t="n">
        <f aca="false">SUM(C13:K13)</f>
        <v>1</v>
      </c>
      <c r="M13" s="71" t="n">
        <f aca="false">L13/(SUM($L$5:$L$13))</f>
        <v>0.0277777777777778</v>
      </c>
      <c r="N13" s="31"/>
      <c r="P13" s="32" t="str">
        <f aca="false">B13</f>
        <v>Latenz</v>
      </c>
      <c r="Q13" s="42" t="n">
        <f aca="false">M13</f>
        <v>0.0277777777777778</v>
      </c>
      <c r="R13" s="43" t="n">
        <v>5</v>
      </c>
      <c r="S13" s="45" t="n">
        <f aca="false">R13*M13</f>
        <v>0.138888888888889</v>
      </c>
      <c r="T13" s="43" t="n">
        <v>4</v>
      </c>
      <c r="U13" s="45" t="n">
        <f aca="false">M13*T13</f>
        <v>0.111111111111111</v>
      </c>
      <c r="V13" s="44" t="n">
        <v>3</v>
      </c>
      <c r="W13" s="45" t="n">
        <f aca="false">V13*M13</f>
        <v>0.0833333333333333</v>
      </c>
      <c r="X13" s="21"/>
      <c r="Z13" s="24" t="s">
        <v>35</v>
      </c>
      <c r="AA13" s="24" t="n">
        <v>14.56</v>
      </c>
      <c r="AB13" s="24" t="n">
        <v>16.57</v>
      </c>
      <c r="AC13" s="24" t="n">
        <v>23.24</v>
      </c>
    </row>
    <row r="14" customFormat="false" ht="15" hidden="false" customHeight="false" outlineLevel="0" collapsed="false">
      <c r="K14" s="57"/>
      <c r="L14" s="72" t="s">
        <v>26</v>
      </c>
      <c r="M14" s="73" t="n">
        <f aca="false">SUM(M4:M13)</f>
        <v>1</v>
      </c>
      <c r="N14" s="31"/>
      <c r="P14" s="56"/>
      <c r="Q14" s="57" t="s">
        <v>6</v>
      </c>
      <c r="R14" s="58"/>
      <c r="S14" s="59" t="n">
        <f aca="false">SUM(S5:S13)</f>
        <v>4.38888888888889</v>
      </c>
      <c r="T14" s="58"/>
      <c r="U14" s="59" t="n">
        <f aca="false">SUM(U5:U13)</f>
        <v>4.69444444444444</v>
      </c>
      <c r="V14" s="58"/>
      <c r="W14" s="59" t="n">
        <f aca="false">SUM(W5:W13)</f>
        <v>2.16666666666667</v>
      </c>
      <c r="X14" s="21"/>
    </row>
    <row r="15" customFormat="false" ht="15" hidden="false" customHeight="false" outlineLevel="0" collapsed="false">
      <c r="B15" s="2" t="s">
        <v>27</v>
      </c>
      <c r="M15" s="60"/>
      <c r="N15" s="60"/>
      <c r="X15" s="21"/>
    </row>
    <row r="16" customFormat="false" ht="15" hidden="false" customHeight="false" outlineLevel="0" collapsed="false">
      <c r="B16" s="2" t="s">
        <v>27</v>
      </c>
      <c r="P16" s="2" t="s">
        <v>28</v>
      </c>
      <c r="X16" s="21"/>
    </row>
    <row r="17" customFormat="false" ht="15" hidden="false" customHeight="false" outlineLevel="0" collapsed="false">
      <c r="P17" s="2" t="s">
        <v>29</v>
      </c>
    </row>
    <row r="18" customFormat="false" ht="15" hidden="false" customHeight="false" outlineLevel="0" collapsed="false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P18" s="2" t="s">
        <v>30</v>
      </c>
    </row>
  </sheetData>
  <mergeCells count="5">
    <mergeCell ref="B1:M1"/>
    <mergeCell ref="P1:W1"/>
    <mergeCell ref="R3:S3"/>
    <mergeCell ref="T3:U3"/>
    <mergeCell ref="V3:W3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22" activeCellId="0" sqref="E22"/>
    </sheetView>
  </sheetViews>
  <sheetFormatPr defaultColWidth="10.66015625" defaultRowHeight="13.5" customHeight="false" zeroHeight="false" outlineLevelRow="0" outlineLevelCol="0"/>
  <cols>
    <col collapsed="false" customWidth="true" hidden="false" outlineLevel="0" max="1" min="1" style="0" width="19.38"/>
    <col collapsed="false" customWidth="true" hidden="false" outlineLevel="0" max="4" min="4" style="0" width="16.23"/>
  </cols>
  <sheetData>
    <row r="1" customFormat="false" ht="13.5" hidden="false" customHeight="false" outlineLevel="0" collapsed="false">
      <c r="A1" s="24"/>
      <c r="B1" s="24" t="s">
        <v>3</v>
      </c>
      <c r="C1" s="24" t="s">
        <v>4</v>
      </c>
      <c r="D1" s="24" t="s">
        <v>11</v>
      </c>
    </row>
    <row r="2" customFormat="false" ht="13.5" hidden="false" customHeight="false" outlineLevel="0" collapsed="false">
      <c r="A2" s="24" t="s">
        <v>13</v>
      </c>
      <c r="B2" s="24" t="n">
        <v>0.996</v>
      </c>
      <c r="C2" s="24" t="n">
        <v>0.997</v>
      </c>
      <c r="D2" s="24" t="n">
        <v>0.936</v>
      </c>
    </row>
    <row r="3" customFormat="false" ht="13.5" hidden="false" customHeight="false" outlineLevel="0" collapsed="false">
      <c r="A3" s="24" t="s">
        <v>15</v>
      </c>
      <c r="B3" s="24" t="n">
        <v>0.984</v>
      </c>
      <c r="C3" s="24" t="n">
        <v>0.987</v>
      </c>
      <c r="D3" s="24" t="n">
        <v>0.828</v>
      </c>
    </row>
    <row r="4" customFormat="false" ht="13.5" hidden="false" customHeight="false" outlineLevel="0" collapsed="false">
      <c r="A4" s="24" t="s">
        <v>17</v>
      </c>
      <c r="B4" s="47" t="n">
        <f aca="false">(2*B2*B3)/(B2+B3)</f>
        <v>0.989963636363636</v>
      </c>
      <c r="C4" s="47" t="n">
        <f aca="false">(2*C2*C3)/(C2+C3)</f>
        <v>0.991974798387097</v>
      </c>
      <c r="D4" s="47" t="n">
        <f aca="false">(2*D2*D3)/(D2+D3)</f>
        <v>0.878693877551021</v>
      </c>
    </row>
    <row r="5" customFormat="false" ht="13.5" hidden="false" customHeight="false" outlineLevel="0" collapsed="false">
      <c r="A5" s="24" t="s">
        <v>19</v>
      </c>
      <c r="B5" s="24" t="n">
        <v>0.993</v>
      </c>
      <c r="C5" s="24" t="n">
        <v>0.994</v>
      </c>
      <c r="D5" s="47" t="n">
        <v>0.9063</v>
      </c>
    </row>
    <row r="6" customFormat="false" ht="13.5" hidden="false" customHeight="false" outlineLevel="0" collapsed="false">
      <c r="A6" s="24" t="s">
        <v>21</v>
      </c>
      <c r="B6" s="24" t="n">
        <v>0.955</v>
      </c>
      <c r="C6" s="24" t="n">
        <v>0.956</v>
      </c>
      <c r="D6" s="47" t="n">
        <v>0.64</v>
      </c>
    </row>
    <row r="7" customFormat="false" ht="13.5" hidden="false" customHeight="false" outlineLevel="0" collapsed="false">
      <c r="A7" s="24" t="s">
        <v>23</v>
      </c>
      <c r="B7" s="24"/>
      <c r="C7" s="24"/>
      <c r="D7" s="24"/>
    </row>
    <row r="8" customFormat="false" ht="13.5" hidden="false" customHeight="false" outlineLevel="0" collapsed="false">
      <c r="A8" s="24" t="s">
        <v>25</v>
      </c>
      <c r="B8" s="24"/>
      <c r="C8" s="24"/>
      <c r="D8" s="24"/>
    </row>
    <row r="9" customFormat="false" ht="13.5" hidden="false" customHeight="false" outlineLevel="0" collapsed="false">
      <c r="A9" s="24" t="s">
        <v>36</v>
      </c>
      <c r="B9" s="24"/>
      <c r="C9" s="24"/>
      <c r="D9" s="2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6" activeCellId="0" sqref="C26"/>
    </sheetView>
  </sheetViews>
  <sheetFormatPr defaultColWidth="10.66015625" defaultRowHeight="13.5" customHeight="false" zeroHeight="false" outlineLevelRow="0" outlineLevelCol="0"/>
  <sheetData>
    <row r="2" customFormat="false" ht="13.5" hidden="false" customHeight="false" outlineLevel="0" collapsed="false">
      <c r="A2" s="74" t="s">
        <v>37</v>
      </c>
      <c r="C2" s="75"/>
      <c r="D2" s="75"/>
      <c r="E2" s="75"/>
      <c r="F2" s="75"/>
    </row>
    <row r="3" customFormat="false" ht="14.9" hidden="false" customHeight="false" outlineLevel="0" collapsed="false">
      <c r="A3" s="76" t="s">
        <v>38</v>
      </c>
      <c r="C3" s="75"/>
      <c r="D3" s="75"/>
      <c r="E3" s="75"/>
      <c r="F3" s="75"/>
    </row>
    <row r="4" customFormat="false" ht="13.5" hidden="false" customHeight="false" outlineLevel="0" collapsed="false">
      <c r="B4" s="74"/>
      <c r="C4" s="74"/>
      <c r="D4" s="74"/>
      <c r="E4" s="74"/>
      <c r="F4" s="74"/>
    </row>
    <row r="5" customFormat="false" ht="14.9" hidden="false" customHeight="false" outlineLevel="0" collapsed="false">
      <c r="A5" s="77" t="s">
        <v>39</v>
      </c>
      <c r="B5" s="74"/>
      <c r="C5" s="74"/>
      <c r="D5" s="74"/>
      <c r="E5" s="74"/>
      <c r="F5" s="74"/>
    </row>
    <row r="6" customFormat="false" ht="13.5" hidden="false" customHeight="false" outlineLevel="0" collapsed="false">
      <c r="B6" s="74"/>
      <c r="C6" s="74"/>
      <c r="D6" s="74"/>
      <c r="E6" s="74"/>
      <c r="F6" s="74"/>
    </row>
    <row r="7" customFormat="false" ht="13.5" hidden="false" customHeight="false" outlineLevel="0" collapsed="false">
      <c r="A7" s="74" t="s">
        <v>40</v>
      </c>
      <c r="B7" s="74"/>
      <c r="C7" s="74"/>
      <c r="D7" s="74"/>
      <c r="E7" s="74"/>
      <c r="F7" s="74"/>
    </row>
    <row r="8" customFormat="false" ht="14.9" hidden="false" customHeight="false" outlineLevel="0" collapsed="false">
      <c r="A8" s="78" t="s">
        <v>41</v>
      </c>
      <c r="B8" s="78"/>
      <c r="C8" s="78"/>
      <c r="D8" s="74"/>
      <c r="E8" s="74"/>
      <c r="F8" s="74"/>
    </row>
    <row r="9" customFormat="false" ht="14.9" hidden="false" customHeight="false" outlineLevel="0" collapsed="false">
      <c r="A9" s="79" t="s">
        <v>42</v>
      </c>
      <c r="B9" s="79"/>
      <c r="C9" s="79"/>
      <c r="D9" s="74"/>
      <c r="E9" s="74"/>
      <c r="F9" s="74"/>
    </row>
    <row r="10" customFormat="false" ht="14.9" hidden="false" customHeight="false" outlineLevel="0" collapsed="false">
      <c r="A10" s="79" t="s">
        <v>43</v>
      </c>
      <c r="B10" s="79"/>
      <c r="C10" s="79"/>
      <c r="D10" s="74"/>
      <c r="E10" s="74"/>
      <c r="F10" s="74"/>
    </row>
    <row r="11" customFormat="false" ht="14.9" hidden="false" customHeight="false" outlineLevel="0" collapsed="false">
      <c r="A11" s="79" t="s">
        <v>44</v>
      </c>
      <c r="B11" s="79"/>
      <c r="C11" s="79"/>
      <c r="D11" s="79"/>
      <c r="E11" s="79"/>
      <c r="F11" s="79"/>
      <c r="G11" s="79"/>
      <c r="H11" s="79"/>
    </row>
  </sheetData>
  <mergeCells count="4">
    <mergeCell ref="A8:C8"/>
    <mergeCell ref="A9:C9"/>
    <mergeCell ref="A10:C10"/>
    <mergeCell ref="A11:H11"/>
  </mergeCells>
  <hyperlinks>
    <hyperlink ref="A3" r:id="rId1" display="www.sixsigmablackbelt.de"/>
    <hyperlink ref="A5" r:id="rId2" display="E-Mail an roland.schnurr@sixsigmablackbelt.de"/>
    <hyperlink ref="A8" r:id="rId3" display="Statistik von Kopf bis Fuss"/>
    <hyperlink ref="A9" r:id="rId4" display="SPC - Statistische Prozesskontrolle"/>
    <hyperlink ref="A10" r:id="rId5" display="Qualitätsmanagement für Ingenieure"/>
    <hyperlink ref="A11" r:id="rId6" display="SPC - Statistische Prozesskontrolle: Eine praktische Einführung in die statistische Prozesskontrolle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LibreOffice/26.2.3.2$Linux_X86_64 LibreOffice_project/d4d5ed47b6084125f28d269a5650105d54dde034</Application>
  <AppVersion>15.0000</AppVersion>
  <Company>Ninkaplast GmbH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2010-07-13T11:22:38Z</dcterms:created>
  <dc:creator>Jasmina Stich</dc:creator>
  <dc:description/>
  <dc:language>de-DE</dc:language>
  <cp:lastModifiedBy/>
  <cp:lastPrinted>2026-05-26T15:47:19Z</cp:lastPrinted>
  <dcterms:modified xsi:type="dcterms:W3CDTF">2026-06-12T12:08:54Z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